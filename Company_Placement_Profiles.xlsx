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ompany Profi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<sst xmlns="http://schemas.openxmlformats.org/spreadsheetml/2006/main" count="496" uniqueCount="239">
  <si>
    <t xml:space="preserve">Roll No</t>
  </si>
  <si>
    <t xml:space="preserve">Name</t>
  </si>
  <si>
    <t xml:space="preserve">Company</t>
  </si>
  <si>
    <t xml:space="preserve">Base (INR)</t>
  </si>
  <si>
    <t xml:space="preserve">CTC (INR)</t>
  </si>
  <si>
    <t xml:space="preserve">Role / Domain</t>
  </si>
  <si>
    <t xml:space="preserve">Day</t>
  </si>
  <si>
    <t xml:space="preserve">Location</t>
  </si>
  <si>
    <t xml:space="preserve">24M0741</t>
  </si>
  <si>
    <t xml:space="preserve">Ayyagari Sathya Sai Srikar</t>
  </si>
  <si>
    <t xml:space="preserve">KLA</t>
  </si>
  <si>
    <t xml:space="preserve">Algorithm Research and Development Engineer</t>
  </si>
  <si>
    <t xml:space="preserve">2.2</t>
  </si>
  <si>
    <t xml:space="preserve">Chennai</t>
  </si>
  <si>
    <t xml:space="preserve">24M0743</t>
  </si>
  <si>
    <t xml:space="preserve">Nishant</t>
  </si>
  <si>
    <t xml:space="preserve">Qualcomm</t>
  </si>
  <si>
    <t xml:space="preserve">Machine Learning Engineer</t>
  </si>
  <si>
    <t xml:space="preserve">1.1</t>
  </si>
  <si>
    <t xml:space="preserve">Hyderabad/Banglore/Chennai/Noida</t>
  </si>
  <si>
    <t xml:space="preserve">24M0744</t>
  </si>
  <si>
    <t xml:space="preserve">Rohit Agrawal</t>
  </si>
  <si>
    <t xml:space="preserve">24M0745</t>
  </si>
  <si>
    <t xml:space="preserve">Jasbir Singh Kalsi</t>
  </si>
  <si>
    <t xml:space="preserve">Visa</t>
  </si>
  <si>
    <t xml:space="preserve">SW Engineer</t>
  </si>
  <si>
    <t xml:space="preserve">3.1</t>
  </si>
  <si>
    <t xml:space="preserve">Bangalore</t>
  </si>
  <si>
    <t xml:space="preserve">24M0746</t>
  </si>
  <si>
    <t xml:space="preserve">Soham Patel</t>
  </si>
  <si>
    <t xml:space="preserve">Apple</t>
  </si>
  <si>
    <t xml:space="preserve">Software Engineer - ASE Team</t>
  </si>
  <si>
    <t xml:space="preserve">Hyderabad</t>
  </si>
  <si>
    <t xml:space="preserve">24M0748</t>
  </si>
  <si>
    <t xml:space="preserve">Parth Pratim Chatterjee</t>
  </si>
  <si>
    <t xml:space="preserve">24M0749</t>
  </si>
  <si>
    <t xml:space="preserve">Vaibhav Gera</t>
  </si>
  <si>
    <t xml:space="preserve">CDot</t>
  </si>
  <si>
    <t xml:space="preserve">Scientist 'B'</t>
  </si>
  <si>
    <t xml:space="preserve">1.2</t>
  </si>
  <si>
    <t xml:space="preserve">Delhi/Bangalore</t>
  </si>
  <si>
    <t xml:space="preserve">24M0750</t>
  </si>
  <si>
    <t xml:space="preserve">Ritesh Manohar Bhadane</t>
  </si>
  <si>
    <t xml:space="preserve">Stripe</t>
  </si>
  <si>
    <t xml:space="preserve">Software Engineering, New Grad</t>
  </si>
  <si>
    <t xml:space="preserve">2.1</t>
  </si>
  <si>
    <t xml:space="preserve">Bengaluru</t>
  </si>
  <si>
    <t xml:space="preserve">24M0751</t>
  </si>
  <si>
    <t xml:space="preserve">Ankit Kumar Bharti</t>
  </si>
  <si>
    <t xml:space="preserve">Pace Stock Broking</t>
  </si>
  <si>
    <t xml:space="preserve">Jr. Software Developer</t>
  </si>
  <si>
    <t xml:space="preserve">Gurugram</t>
  </si>
  <si>
    <t xml:space="preserve">24M0752</t>
  </si>
  <si>
    <t xml:space="preserve">Ashutosh Birla</t>
  </si>
  <si>
    <t xml:space="preserve">Marsh McLennan</t>
  </si>
  <si>
    <t xml:space="preserve">Senior Engineer - MMA Tech</t>
  </si>
  <si>
    <t xml:space="preserve">8</t>
  </si>
  <si>
    <t xml:space="preserve">Mumbai</t>
  </si>
  <si>
    <t xml:space="preserve">24M0753</t>
  </si>
  <si>
    <t xml:space="preserve">Samarth Tandale</t>
  </si>
  <si>
    <t xml:space="preserve">Easebuzz Private Limited</t>
  </si>
  <si>
    <t xml:space="preserve">Backend Engineer</t>
  </si>
  <si>
    <t xml:space="preserve">15</t>
  </si>
  <si>
    <t xml:space="preserve">Pune</t>
  </si>
  <si>
    <t xml:space="preserve">24M0754</t>
  </si>
  <si>
    <t xml:space="preserve">Utkarsh Tiwari</t>
  </si>
  <si>
    <t xml:space="preserve">Fujitsu</t>
  </si>
  <si>
    <t xml:space="preserve">Senior Software Engineer(M.Tech)-Monaka HPC Lab</t>
  </si>
  <si>
    <t xml:space="preserve">24M0755</t>
  </si>
  <si>
    <t xml:space="preserve">Dipanshu Garg</t>
  </si>
  <si>
    <t xml:space="preserve">Samsung Noida</t>
  </si>
  <si>
    <t xml:space="preserve">R&amp;D Engineer</t>
  </si>
  <si>
    <t xml:space="preserve">Noida</t>
  </si>
  <si>
    <t xml:space="preserve">24M0756</t>
  </si>
  <si>
    <t xml:space="preserve">Daksh Goyal</t>
  </si>
  <si>
    <t xml:space="preserve">Multimedia System Engineer</t>
  </si>
  <si>
    <t xml:space="preserve">24M0757</t>
  </si>
  <si>
    <t xml:space="preserve">Puneet Garg</t>
  </si>
  <si>
    <t xml:space="preserve">Samsung Delhi</t>
  </si>
  <si>
    <t xml:space="preserve">Software Development Engineer</t>
  </si>
  <si>
    <t xml:space="preserve">24M0758</t>
  </si>
  <si>
    <t xml:space="preserve">Vinjamuri Aravind</t>
  </si>
  <si>
    <t xml:space="preserve">SAP Labs</t>
  </si>
  <si>
    <t xml:space="preserve">Associate Developer</t>
  </si>
  <si>
    <t xml:space="preserve">24M0759</t>
  </si>
  <si>
    <t xml:space="preserve">Gurujeet Singh Raghuwanshi</t>
  </si>
  <si>
    <t xml:space="preserve">Bank of America</t>
  </si>
  <si>
    <t xml:space="preserve">Software Engineer</t>
  </si>
  <si>
    <t xml:space="preserve">4.2</t>
  </si>
  <si>
    <t xml:space="preserve">Mumbai, GIFT CITY, Hyderabad, Chennai, Gurugram</t>
  </si>
  <si>
    <t xml:space="preserve">24M0761</t>
  </si>
  <si>
    <t xml:space="preserve">Ameer Hamza</t>
  </si>
  <si>
    <t xml:space="preserve">24M0763</t>
  </si>
  <si>
    <t xml:space="preserve">Gaurav Mahla</t>
  </si>
  <si>
    <t xml:space="preserve">24m0764</t>
  </si>
  <si>
    <t xml:space="preserve">Shubh Nagar</t>
  </si>
  <si>
    <t xml:space="preserve">NXP Semiconductor</t>
  </si>
  <si>
    <t xml:space="preserve">Firmware Engineer</t>
  </si>
  <si>
    <t xml:space="preserve">Bangalore/Pune/Noida</t>
  </si>
  <si>
    <t xml:space="preserve">24M0766</t>
  </si>
  <si>
    <t xml:space="preserve">Nitin Chakravarthy Chilukuri</t>
  </si>
  <si>
    <t xml:space="preserve">Mercedes Benz</t>
  </si>
  <si>
    <t xml:space="preserve">PGET Trainee</t>
  </si>
  <si>
    <t xml:space="preserve">24M0768</t>
  </si>
  <si>
    <t xml:space="preserve">Soumya Mukherjee</t>
  </si>
  <si>
    <t xml:space="preserve">Coupa</t>
  </si>
  <si>
    <t xml:space="preserve">Associate Data Scientist</t>
  </si>
  <si>
    <t xml:space="preserve">Pune or Banaglore</t>
  </si>
  <si>
    <t xml:space="preserve">24M0769</t>
  </si>
  <si>
    <t xml:space="preserve">Kush Mangukiya</t>
  </si>
  <si>
    <t xml:space="preserve">Associate Platform Engineer</t>
  </si>
  <si>
    <t xml:space="preserve">24M0770</t>
  </si>
  <si>
    <t xml:space="preserve">Mohammad Kashif Khan</t>
  </si>
  <si>
    <t xml:space="preserve">24M0771</t>
  </si>
  <si>
    <t xml:space="preserve">Pranav Kandwal</t>
  </si>
  <si>
    <t xml:space="preserve">24M0772</t>
  </si>
  <si>
    <t xml:space="preserve">Garima Jain</t>
  </si>
  <si>
    <t xml:space="preserve">Oracle</t>
  </si>
  <si>
    <t xml:space="preserve">Member Technical Staff - 1</t>
  </si>
  <si>
    <t xml:space="preserve">Bengaluru,Hyderabad,Pune and Noida</t>
  </si>
  <si>
    <t xml:space="preserve">24M0774</t>
  </si>
  <si>
    <t xml:space="preserve">Sriharsha Kotcharlakot</t>
  </si>
  <si>
    <t xml:space="preserve">24M0776</t>
  </si>
  <si>
    <t xml:space="preserve">Shreyas Namjoshi</t>
  </si>
  <si>
    <t xml:space="preserve">24M0777</t>
  </si>
  <si>
    <t xml:space="preserve">Kartik Patel</t>
  </si>
  <si>
    <t xml:space="preserve">24M0780</t>
  </si>
  <si>
    <t xml:space="preserve">Shashank Zanzad</t>
  </si>
  <si>
    <t xml:space="preserve">Accenture Operations</t>
  </si>
  <si>
    <t xml:space="preserve">Associate Data scientist</t>
  </si>
  <si>
    <t xml:space="preserve">24M0781</t>
  </si>
  <si>
    <t xml:space="preserve">Aryan Khilwani</t>
  </si>
  <si>
    <t xml:space="preserve">24M0785</t>
  </si>
  <si>
    <t xml:space="preserve">Mayank Mehar</t>
  </si>
  <si>
    <t xml:space="preserve">TIAA Global capabilities</t>
  </si>
  <si>
    <t xml:space="preserve">Sr. Analyst / Associate - LRC (Data/Cloud/AI Engineer)</t>
  </si>
  <si>
    <t xml:space="preserve">6</t>
  </si>
  <si>
    <t xml:space="preserve">Pune / Mumbai</t>
  </si>
  <si>
    <t xml:space="preserve">24M0786</t>
  </si>
  <si>
    <t xml:space="preserve">Gaurav Kumar</t>
  </si>
  <si>
    <t xml:space="preserve">Wipro Limited</t>
  </si>
  <si>
    <t xml:space="preserve">AI Scientist/Project Engineer</t>
  </si>
  <si>
    <t xml:space="preserve">Phase 2</t>
  </si>
  <si>
    <t xml:space="preserve">24M0787</t>
  </si>
  <si>
    <t xml:space="preserve">Anishek Kumar Chaudhary</t>
  </si>
  <si>
    <t xml:space="preserve">24M0788</t>
  </si>
  <si>
    <t xml:space="preserve">Abhinandan Kumar</t>
  </si>
  <si>
    <t xml:space="preserve">RX Consultants</t>
  </si>
  <si>
    <t xml:space="preserve">Django Developer</t>
  </si>
  <si>
    <t xml:space="preserve">12</t>
  </si>
  <si>
    <t xml:space="preserve">24M0789</t>
  </si>
  <si>
    <t xml:space="preserve">Omikumar Kakadiya</t>
  </si>
  <si>
    <t xml:space="preserve">24M0791</t>
  </si>
  <si>
    <t xml:space="preserve">Harsh Sirja</t>
  </si>
  <si>
    <t xml:space="preserve">24M0792</t>
  </si>
  <si>
    <t xml:space="preserve">Amit Pandey</t>
  </si>
  <si>
    <t xml:space="preserve">24M0793</t>
  </si>
  <si>
    <t xml:space="preserve">Rajshekar K</t>
  </si>
  <si>
    <t xml:space="preserve">Rakuten</t>
  </si>
  <si>
    <t xml:space="preserve">24M0794</t>
  </si>
  <si>
    <t xml:space="preserve">Hirenmay Samanta</t>
  </si>
  <si>
    <t xml:space="preserve">Bitgo</t>
  </si>
  <si>
    <t xml:space="preserve">24M0796</t>
  </si>
  <si>
    <t xml:space="preserve">Manivannan N</t>
  </si>
  <si>
    <t xml:space="preserve">Multimedia Systems Engineer</t>
  </si>
  <si>
    <t xml:space="preserve">24m0798</t>
  </si>
  <si>
    <t xml:space="preserve">Nishtha Hiteshbhai Vaghela</t>
  </si>
  <si>
    <t xml:space="preserve">Earnin</t>
  </si>
  <si>
    <t xml:space="preserve">3.2</t>
  </si>
  <si>
    <t xml:space="preserve">24M0801</t>
  </si>
  <si>
    <t xml:space="preserve">Farhan Jawaid</t>
  </si>
  <si>
    <t xml:space="preserve">Baya system</t>
  </si>
  <si>
    <t xml:space="preserve">24m0803</t>
  </si>
  <si>
    <t xml:space="preserve">Harsh Dhananjay More</t>
  </si>
  <si>
    <t xml:space="preserve">24M0804</t>
  </si>
  <si>
    <t xml:space="preserve">Harsh Kumar</t>
  </si>
  <si>
    <t xml:space="preserve">Media.net</t>
  </si>
  <si>
    <t xml:space="preserve">Software Developer Engineer</t>
  </si>
  <si>
    <t xml:space="preserve">Mumbai and Bangalore</t>
  </si>
  <si>
    <t xml:space="preserve">24M0807</t>
  </si>
  <si>
    <t xml:space="preserve">Vinay Kumar Gupta</t>
  </si>
  <si>
    <t xml:space="preserve">24M0808</t>
  </si>
  <si>
    <t xml:space="preserve">Abhishek Singh</t>
  </si>
  <si>
    <t xml:space="preserve">24m0810</t>
  </si>
  <si>
    <t xml:space="preserve">Vidhi Rajesh Shah</t>
  </si>
  <si>
    <t xml:space="preserve">Juspay</t>
  </si>
  <si>
    <t xml:space="preserve">4.1</t>
  </si>
  <si>
    <t xml:space="preserve">Bangalore / Mumbai / Gurgaon</t>
  </si>
  <si>
    <t xml:space="preserve">24M0812</t>
  </si>
  <si>
    <t xml:space="preserve">Arijeet Mondal</t>
  </si>
  <si>
    <t xml:space="preserve">24M0814</t>
  </si>
  <si>
    <t xml:space="preserve">ARITRA BELEL</t>
  </si>
  <si>
    <t xml:space="preserve">24M0815</t>
  </si>
  <si>
    <t xml:space="preserve">Akansha More</t>
  </si>
  <si>
    <t xml:space="preserve">Associate - AIML</t>
  </si>
  <si>
    <t xml:space="preserve">Pune/Mumbai</t>
  </si>
  <si>
    <t xml:space="preserve">24M0817</t>
  </si>
  <si>
    <t xml:space="preserve">Jupiter Money</t>
  </si>
  <si>
    <t xml:space="preserve">SDE 1</t>
  </si>
  <si>
    <t xml:space="preserve">24m0819</t>
  </si>
  <si>
    <t xml:space="preserve">Gyara Pragathi</t>
  </si>
  <si>
    <t xml:space="preserve">Reliance</t>
  </si>
  <si>
    <t xml:space="preserve">Reliance Post Graduation Hires</t>
  </si>
  <si>
    <t xml:space="preserve">Pan India</t>
  </si>
  <si>
    <t xml:space="preserve">24M0820</t>
  </si>
  <si>
    <t xml:space="preserve">Ashu Raj</t>
  </si>
  <si>
    <t xml:space="preserve">10</t>
  </si>
  <si>
    <t xml:space="preserve">24M0823</t>
  </si>
  <si>
    <t xml:space="preserve">Bishakha Bera</t>
  </si>
  <si>
    <t xml:space="preserve">24M0825</t>
  </si>
  <si>
    <t xml:space="preserve">Shruti Patel</t>
  </si>
  <si>
    <t xml:space="preserve">24M0827</t>
  </si>
  <si>
    <t xml:space="preserve">Tejas Sanjay Shinde</t>
  </si>
  <si>
    <t xml:space="preserve">24M0854</t>
  </si>
  <si>
    <t xml:space="preserve">Ravi Sah</t>
  </si>
  <si>
    <t xml:space="preserve">24M0855</t>
  </si>
  <si>
    <t xml:space="preserve">Ritika Jaiswal</t>
  </si>
  <si>
    <t xml:space="preserve">MathWorks</t>
  </si>
  <si>
    <t xml:space="preserve">Masters/Dual Degree- Engineer in Engineering Development Group</t>
  </si>
  <si>
    <t xml:space="preserve">Bangalore or Hyderabad</t>
  </si>
  <si>
    <t xml:space="preserve">No. of Students Placed</t>
  </si>
  <si>
    <t xml:space="preserve">Day(s) Company Visited</t>
  </si>
  <si>
    <t xml:space="preserve">Domains / Roles Offered</t>
  </si>
  <si>
    <t xml:space="preserve">Locations Offered</t>
  </si>
  <si>
    <t xml:space="preserve">Lowest Base (INR)</t>
  </si>
  <si>
    <t xml:space="preserve">Median Base (INR)</t>
  </si>
  <si>
    <t xml:space="preserve">Highest Base (INR)</t>
  </si>
  <si>
    <t xml:space="preserve">Lowest CTC (INR)</t>
  </si>
  <si>
    <t xml:space="preserve">Median CTC (INR)</t>
  </si>
  <si>
    <t xml:space="preserve">Highest CTC (INR)</t>
  </si>
  <si>
    <t xml:space="preserve">Machine Learning Engineer; Multimedia System Engineer; Multimedia Systems Engineer</t>
  </si>
  <si>
    <t xml:space="preserve">N/A</t>
  </si>
  <si>
    <t xml:space="preserve">10, 3.1</t>
  </si>
  <si>
    <t xml:space="preserve">Associate Developer; Associate Platform Engineer</t>
  </si>
  <si>
    <t xml:space="preserve">Bangalore; Pune</t>
  </si>
  <si>
    <t xml:space="preserve">Associate - AIML; Sr. Analyst / Associate - LRC (Data/Cloud/AI Engineer)</t>
  </si>
  <si>
    <t xml:space="preserve">Pune / Mumbai; Pune/Mumbai</t>
  </si>
  <si>
    <t xml:space="preserve">TOTAL</t>
  </si>
  <si>
    <t xml:space="preserve">Note: 'Day' values follow the source data's Day.Slot notation (e.g. 3.1 = Day 3, Slot 1). Company visiting on multiple days is listed as multiple values.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</si>
</sst>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5" min="4" style="0" width="13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3" t="n">
        <v>4200000</v>
      </c>
      <c r="E2" s="3" t="n">
        <v>5400000</v>
      </c>
      <c r="F2" s="2" t="s">
        <v>11</v>
      </c>
      <c r="G2" s="2" t="s">
        <v>12</v>
      </c>
      <c r="H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3" t="n">
        <v>1950000</v>
      </c>
      <c r="E3" s="3" t="n">
        <v>4216000</v>
      </c>
      <c r="F3" s="2" t="s">
        <v>17</v>
      </c>
      <c r="G3" s="2" t="s">
        <v>18</v>
      </c>
      <c r="H3" s="2" t="s">
        <v>19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16</v>
      </c>
      <c r="D4" s="3" t="n">
        <v>1950000</v>
      </c>
      <c r="E4" s="3" t="n">
        <v>4216000</v>
      </c>
      <c r="F4" s="2" t="s">
        <v>17</v>
      </c>
      <c r="G4" s="2" t="s">
        <v>18</v>
      </c>
      <c r="H4" s="2" t="s">
        <v>19</v>
      </c>
    </row>
    <row r="5" customFormat="false" ht="15" hidden="false" customHeight="false" outlineLevel="0" collapsed="false">
      <c r="A5" s="2" t="s">
        <v>22</v>
      </c>
      <c r="B5" s="2" t="s">
        <v>23</v>
      </c>
      <c r="C5" s="2" t="s">
        <v>24</v>
      </c>
      <c r="D5" s="3" t="n">
        <v>1500000</v>
      </c>
      <c r="E5" s="3" t="n">
        <v>3043080</v>
      </c>
      <c r="F5" s="2" t="s">
        <v>25</v>
      </c>
      <c r="G5" s="2" t="s">
        <v>26</v>
      </c>
      <c r="H5" s="2" t="s">
        <v>27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30</v>
      </c>
      <c r="D6" s="3" t="n">
        <v>2200000</v>
      </c>
      <c r="E6" s="3" t="n">
        <v>3992500</v>
      </c>
      <c r="F6" s="2" t="s">
        <v>31</v>
      </c>
      <c r="G6" s="2" t="s">
        <v>18</v>
      </c>
      <c r="H6" s="2" t="s">
        <v>32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16</v>
      </c>
      <c r="D7" s="3" t="n">
        <v>1950000</v>
      </c>
      <c r="E7" s="3" t="n">
        <v>4216000</v>
      </c>
      <c r="F7" s="2" t="s">
        <v>17</v>
      </c>
      <c r="G7" s="2" t="s">
        <v>18</v>
      </c>
      <c r="H7" s="2" t="s">
        <v>19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37</v>
      </c>
      <c r="D8" s="3" t="n">
        <v>2235110</v>
      </c>
      <c r="E8" s="3" t="n">
        <v>2235110</v>
      </c>
      <c r="F8" s="2" t="s">
        <v>38</v>
      </c>
      <c r="G8" s="2" t="s">
        <v>39</v>
      </c>
      <c r="H8" s="2" t="s">
        <v>40</v>
      </c>
    </row>
    <row r="9" customFormat="false" ht="15" hidden="false" customHeight="false" outlineLevel="0" collapsed="false">
      <c r="A9" s="2" t="s">
        <v>41</v>
      </c>
      <c r="B9" s="2" t="s">
        <v>42</v>
      </c>
      <c r="C9" s="2" t="s">
        <v>43</v>
      </c>
      <c r="D9" s="3" t="n">
        <v>2806000</v>
      </c>
      <c r="E9" s="3" t="n">
        <v>6706584</v>
      </c>
      <c r="F9" s="2" t="s">
        <v>44</v>
      </c>
      <c r="G9" s="2" t="s">
        <v>45</v>
      </c>
      <c r="H9" s="2" t="s">
        <v>46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49</v>
      </c>
      <c r="D10" s="3" t="n">
        <v>3600000</v>
      </c>
      <c r="E10" s="3" t="n">
        <v>6600000</v>
      </c>
      <c r="F10" s="2" t="s">
        <v>50</v>
      </c>
      <c r="G10" s="2" t="s">
        <v>12</v>
      </c>
      <c r="H10" s="2" t="s">
        <v>51</v>
      </c>
    </row>
    <row r="11" customFormat="false" ht="15" hidden="false" customHeight="false" outlineLevel="0" collapsed="false">
      <c r="A11" s="2" t="s">
        <v>52</v>
      </c>
      <c r="B11" s="2" t="s">
        <v>53</v>
      </c>
      <c r="C11" s="2" t="s">
        <v>54</v>
      </c>
      <c r="D11" s="3" t="n">
        <v>1339464</v>
      </c>
      <c r="E11" s="3" t="n">
        <v>1547700</v>
      </c>
      <c r="F11" s="2" t="s">
        <v>55</v>
      </c>
      <c r="G11" s="2" t="s">
        <v>56</v>
      </c>
      <c r="H11" s="2" t="s">
        <v>57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3" t="n">
        <v>1976604</v>
      </c>
      <c r="E12" s="3" t="n">
        <v>2000004</v>
      </c>
      <c r="F12" s="2" t="s">
        <v>61</v>
      </c>
      <c r="G12" s="2" t="s">
        <v>62</v>
      </c>
      <c r="H12" s="2" t="s">
        <v>63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3" t="n">
        <v>2400000</v>
      </c>
      <c r="E13" s="3" t="n">
        <v>2700000</v>
      </c>
      <c r="F13" s="2" t="s">
        <v>67</v>
      </c>
      <c r="G13" s="2" t="s">
        <v>12</v>
      </c>
      <c r="H13" s="2" t="s">
        <v>27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3" t="n">
        <v>1750000</v>
      </c>
      <c r="E14" s="3" t="n">
        <v>3150000</v>
      </c>
      <c r="F14" s="2" t="s">
        <v>71</v>
      </c>
      <c r="G14" s="2" t="s">
        <v>26</v>
      </c>
      <c r="H14" s="2" t="s">
        <v>72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16</v>
      </c>
      <c r="D15" s="3" t="n">
        <v>1950000</v>
      </c>
      <c r="E15" s="3" t="n">
        <v>4216000</v>
      </c>
      <c r="F15" s="2" t="s">
        <v>75</v>
      </c>
      <c r="G15" s="2" t="s">
        <v>18</v>
      </c>
      <c r="H15" s="2" t="s">
        <v>19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3" t="n">
        <v>1649136</v>
      </c>
      <c r="E16" s="3" t="n">
        <v>2149996</v>
      </c>
      <c r="F16" s="2" t="s">
        <v>79</v>
      </c>
      <c r="G16" s="2" t="s">
        <v>26</v>
      </c>
      <c r="H16" s="2" t="s">
        <v>72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3" t="n">
        <v>1850000</v>
      </c>
      <c r="E17" s="3" t="n">
        <v>3250000</v>
      </c>
      <c r="F17" s="2" t="s">
        <v>83</v>
      </c>
      <c r="G17" s="2" t="s">
        <v>12</v>
      </c>
      <c r="H17" s="2" t="s">
        <v>27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3" t="n">
        <v>1650000</v>
      </c>
      <c r="E18" s="3" t="n">
        <v>1650000</v>
      </c>
      <c r="F18" s="2" t="s">
        <v>87</v>
      </c>
      <c r="G18" s="2" t="s">
        <v>88</v>
      </c>
      <c r="H18" s="2" t="s">
        <v>89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70</v>
      </c>
      <c r="D19" s="3" t="n">
        <v>1750000</v>
      </c>
      <c r="E19" s="3" t="n">
        <v>3150000</v>
      </c>
      <c r="F19" s="2" t="s">
        <v>71</v>
      </c>
      <c r="G19" s="2" t="s">
        <v>26</v>
      </c>
      <c r="H19" s="2" t="s">
        <v>72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70</v>
      </c>
      <c r="D20" s="3" t="n">
        <v>1750000</v>
      </c>
      <c r="E20" s="3" t="n">
        <v>3150000</v>
      </c>
      <c r="F20" s="2" t="s">
        <v>71</v>
      </c>
      <c r="G20" s="2" t="s">
        <v>26</v>
      </c>
      <c r="H20" s="2" t="s">
        <v>72</v>
      </c>
    </row>
    <row r="21" customFormat="false" ht="15" hidden="false" customHeight="false" outlineLevel="0" collapsed="false">
      <c r="A21" s="2" t="s">
        <v>94</v>
      </c>
      <c r="B21" s="2" t="s">
        <v>95</v>
      </c>
      <c r="C21" s="2" t="s">
        <v>96</v>
      </c>
      <c r="D21" s="3" t="n">
        <v>1800000</v>
      </c>
      <c r="E21" s="3" t="n">
        <v>2678560</v>
      </c>
      <c r="F21" s="2" t="s">
        <v>97</v>
      </c>
      <c r="G21" s="2" t="s">
        <v>26</v>
      </c>
      <c r="H21" s="2" t="s">
        <v>98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101</v>
      </c>
      <c r="D22" s="3" t="n">
        <v>1410528</v>
      </c>
      <c r="E22" s="3" t="n">
        <v>1500000</v>
      </c>
      <c r="F22" s="2" t="s">
        <v>102</v>
      </c>
      <c r="G22" s="2" t="s">
        <v>26</v>
      </c>
      <c r="H22" s="2" t="s">
        <v>46</v>
      </c>
    </row>
    <row r="23" customFormat="false" ht="15" hidden="false" customHeight="false" outlineLevel="0" collapsed="false">
      <c r="A23" s="2" t="s">
        <v>103</v>
      </c>
      <c r="B23" s="2" t="s">
        <v>104</v>
      </c>
      <c r="C23" s="2" t="s">
        <v>105</v>
      </c>
      <c r="D23" s="3" t="n">
        <v>1800000</v>
      </c>
      <c r="E23" s="3" t="n">
        <v>1980000</v>
      </c>
      <c r="F23" s="2" t="s">
        <v>106</v>
      </c>
      <c r="G23" s="2" t="s">
        <v>88</v>
      </c>
      <c r="H23" s="2" t="s">
        <v>107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82</v>
      </c>
      <c r="D24" s="3" t="n">
        <v>1850000</v>
      </c>
      <c r="E24" s="3" t="n">
        <v>3250000</v>
      </c>
      <c r="F24" s="2" t="s">
        <v>110</v>
      </c>
      <c r="G24" s="2" t="s">
        <v>12</v>
      </c>
      <c r="H24" s="2" t="s">
        <v>63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30</v>
      </c>
      <c r="D25" s="3" t="n">
        <v>2200000</v>
      </c>
      <c r="E25" s="3" t="n">
        <v>3992500</v>
      </c>
      <c r="F25" s="2" t="s">
        <v>31</v>
      </c>
      <c r="G25" s="2" t="s">
        <v>18</v>
      </c>
      <c r="H25" s="2" t="s">
        <v>32</v>
      </c>
    </row>
    <row r="26" customFormat="false" ht="15" hidden="false" customHeight="false" outlineLevel="0" collapsed="false">
      <c r="A26" s="2" t="s">
        <v>113</v>
      </c>
      <c r="B26" s="2" t="s">
        <v>114</v>
      </c>
      <c r="C26" s="2" t="s">
        <v>16</v>
      </c>
      <c r="D26" s="3" t="n">
        <v>1950000</v>
      </c>
      <c r="E26" s="3" t="n">
        <v>4216000</v>
      </c>
      <c r="F26" s="2" t="s">
        <v>17</v>
      </c>
      <c r="G26" s="2" t="s">
        <v>18</v>
      </c>
      <c r="H26" s="2" t="s">
        <v>19</v>
      </c>
    </row>
    <row r="27" customFormat="false" ht="15" hidden="false" customHeight="false" outlineLevel="0" collapsed="false">
      <c r="A27" s="2" t="s">
        <v>115</v>
      </c>
      <c r="B27" s="2" t="s">
        <v>116</v>
      </c>
      <c r="C27" s="2" t="s">
        <v>117</v>
      </c>
      <c r="D27" s="3" t="n">
        <v>1868000</v>
      </c>
      <c r="E27" s="3" t="n">
        <v>3513196</v>
      </c>
      <c r="F27" s="2" t="s">
        <v>118</v>
      </c>
      <c r="G27" s="2" t="s">
        <v>45</v>
      </c>
      <c r="H27" s="2" t="s">
        <v>119</v>
      </c>
    </row>
    <row r="28" customFormat="false" ht="15" hidden="false" customHeight="false" outlineLevel="0" collapsed="false">
      <c r="A28" s="2" t="s">
        <v>120</v>
      </c>
      <c r="B28" s="2" t="s">
        <v>121</v>
      </c>
      <c r="C28" s="2" t="s">
        <v>54</v>
      </c>
      <c r="D28" s="3" t="n">
        <v>1339464</v>
      </c>
      <c r="E28" s="3" t="n">
        <v>1547700</v>
      </c>
      <c r="F28" s="2" t="s">
        <v>55</v>
      </c>
      <c r="G28" s="2" t="s">
        <v>56</v>
      </c>
      <c r="H28" s="2" t="s">
        <v>57</v>
      </c>
    </row>
    <row r="29" customFormat="false" ht="15" hidden="false" customHeight="false" outlineLevel="0" collapsed="false">
      <c r="A29" s="2" t="s">
        <v>122</v>
      </c>
      <c r="B29" s="2" t="s">
        <v>123</v>
      </c>
      <c r="C29" s="2" t="s">
        <v>70</v>
      </c>
      <c r="D29" s="3" t="n">
        <v>1750000</v>
      </c>
      <c r="E29" s="3" t="n">
        <v>3150000</v>
      </c>
      <c r="F29" s="2" t="s">
        <v>71</v>
      </c>
      <c r="G29" s="2" t="s">
        <v>26</v>
      </c>
      <c r="H29" s="2" t="s">
        <v>72</v>
      </c>
    </row>
    <row r="30" customFormat="false" ht="15" hidden="false" customHeight="false" outlineLevel="0" collapsed="false">
      <c r="A30" s="2" t="s">
        <v>124</v>
      </c>
      <c r="B30" s="2" t="s">
        <v>125</v>
      </c>
      <c r="C30" s="2" t="s">
        <v>86</v>
      </c>
      <c r="D30" s="3" t="n">
        <v>1650000</v>
      </c>
      <c r="E30" s="3" t="n">
        <v>1650000</v>
      </c>
      <c r="F30" s="2" t="s">
        <v>87</v>
      </c>
      <c r="G30" s="2" t="s">
        <v>88</v>
      </c>
      <c r="H30" s="2" t="s">
        <v>89</v>
      </c>
    </row>
    <row r="31" customFormat="false" ht="15" hidden="false" customHeight="false" outlineLevel="0" collapsed="false">
      <c r="A31" s="2" t="s">
        <v>126</v>
      </c>
      <c r="B31" s="2" t="s">
        <v>127</v>
      </c>
      <c r="C31" s="2" t="s">
        <v>128</v>
      </c>
      <c r="D31" s="3" t="n">
        <v>1500000</v>
      </c>
      <c r="E31" s="3" t="n">
        <v>2255800</v>
      </c>
      <c r="F31" s="2" t="s">
        <v>129</v>
      </c>
      <c r="G31" s="2" t="s">
        <v>45</v>
      </c>
      <c r="H31" s="2" t="s">
        <v>46</v>
      </c>
    </row>
    <row r="32" customFormat="false" ht="15" hidden="false" customHeight="false" outlineLevel="0" collapsed="false">
      <c r="A32" s="2" t="s">
        <v>130</v>
      </c>
      <c r="B32" s="2" t="s">
        <v>131</v>
      </c>
      <c r="C32" s="2" t="s">
        <v>82</v>
      </c>
      <c r="D32" s="3" t="n">
        <v>1850000</v>
      </c>
      <c r="E32" s="3" t="n">
        <v>3250000</v>
      </c>
      <c r="F32" s="2" t="s">
        <v>83</v>
      </c>
      <c r="G32" s="2" t="s">
        <v>12</v>
      </c>
      <c r="H32" s="2" t="s">
        <v>27</v>
      </c>
    </row>
    <row r="33" customFormat="false" ht="15" hidden="false" customHeight="false" outlineLevel="0" collapsed="false">
      <c r="A33" s="2" t="s">
        <v>132</v>
      </c>
      <c r="B33" s="2" t="s">
        <v>133</v>
      </c>
      <c r="C33" s="2" t="s">
        <v>134</v>
      </c>
      <c r="D33" s="3" t="n">
        <v>1800000</v>
      </c>
      <c r="E33" s="3" t="n">
        <v>1886400</v>
      </c>
      <c r="F33" s="2" t="s">
        <v>135</v>
      </c>
      <c r="G33" s="2" t="s">
        <v>136</v>
      </c>
      <c r="H33" s="2" t="s">
        <v>137</v>
      </c>
    </row>
    <row r="34" customFormat="false" ht="15" hidden="false" customHeight="false" outlineLevel="0" collapsed="false">
      <c r="A34" s="2" t="s">
        <v>138</v>
      </c>
      <c r="B34" s="2" t="s">
        <v>139</v>
      </c>
      <c r="C34" s="2" t="s">
        <v>140</v>
      </c>
      <c r="D34" s="3" t="n">
        <v>1711520</v>
      </c>
      <c r="E34" s="3" t="n">
        <v>2000000</v>
      </c>
      <c r="F34" s="2" t="s">
        <v>141</v>
      </c>
      <c r="G34" s="2" t="s">
        <v>142</v>
      </c>
      <c r="H34" s="2" t="s">
        <v>27</v>
      </c>
    </row>
    <row r="35" customFormat="false" ht="15" hidden="false" customHeight="false" outlineLevel="0" collapsed="false">
      <c r="A35" s="2" t="s">
        <v>143</v>
      </c>
      <c r="B35" s="2" t="s">
        <v>144</v>
      </c>
      <c r="C35" s="2" t="s">
        <v>117</v>
      </c>
      <c r="D35" s="3" t="n">
        <v>1868000</v>
      </c>
      <c r="E35" s="3" t="n">
        <v>3513196</v>
      </c>
      <c r="F35" s="2" t="s">
        <v>118</v>
      </c>
      <c r="G35" s="2" t="s">
        <v>45</v>
      </c>
      <c r="H35" s="2" t="s">
        <v>119</v>
      </c>
    </row>
    <row r="36" customFormat="false" ht="15" hidden="false" customHeight="false" outlineLevel="0" collapsed="false">
      <c r="A36" s="2" t="s">
        <v>145</v>
      </c>
      <c r="B36" s="2" t="s">
        <v>146</v>
      </c>
      <c r="C36" s="2" t="s">
        <v>147</v>
      </c>
      <c r="D36" s="3" t="n">
        <v>800000</v>
      </c>
      <c r="E36" s="3" t="n">
        <v>1000000</v>
      </c>
      <c r="F36" s="2" t="s">
        <v>148</v>
      </c>
      <c r="G36" s="2" t="s">
        <v>149</v>
      </c>
      <c r="H36" s="2" t="s">
        <v>57</v>
      </c>
    </row>
    <row r="37" customFormat="false" ht="15" hidden="false" customHeight="false" outlineLevel="0" collapsed="false">
      <c r="A37" s="2" t="s">
        <v>150</v>
      </c>
      <c r="B37" s="2" t="s">
        <v>151</v>
      </c>
      <c r="C37" s="2" t="s">
        <v>101</v>
      </c>
      <c r="D37" s="3" t="n">
        <v>1410528</v>
      </c>
      <c r="E37" s="3" t="n">
        <v>1500000</v>
      </c>
      <c r="F37" s="2" t="s">
        <v>102</v>
      </c>
      <c r="G37" s="2" t="s">
        <v>26</v>
      </c>
      <c r="H37" s="2" t="s">
        <v>46</v>
      </c>
    </row>
    <row r="38" customFormat="false" ht="15" hidden="false" customHeight="false" outlineLevel="0" collapsed="false">
      <c r="A38" s="2" t="s">
        <v>152</v>
      </c>
      <c r="B38" s="2" t="s">
        <v>153</v>
      </c>
      <c r="C38" s="2" t="s">
        <v>30</v>
      </c>
      <c r="D38" s="3" t="n">
        <v>2200000</v>
      </c>
      <c r="E38" s="3" t="n">
        <v>3992500</v>
      </c>
      <c r="F38" s="2" t="s">
        <v>31</v>
      </c>
      <c r="G38" s="2" t="s">
        <v>18</v>
      </c>
      <c r="H38" s="2" t="s">
        <v>32</v>
      </c>
    </row>
    <row r="39" customFormat="false" ht="15" hidden="false" customHeight="false" outlineLevel="0" collapsed="false">
      <c r="A39" s="2" t="s">
        <v>154</v>
      </c>
      <c r="B39" s="2" t="s">
        <v>155</v>
      </c>
      <c r="C39" s="2" t="s">
        <v>82</v>
      </c>
      <c r="D39" s="3" t="n">
        <v>1850000</v>
      </c>
      <c r="E39" s="3" t="n">
        <v>3250000</v>
      </c>
      <c r="F39" s="2" t="s">
        <v>83</v>
      </c>
      <c r="G39" s="2" t="s">
        <v>12</v>
      </c>
      <c r="H39" s="2" t="s">
        <v>27</v>
      </c>
    </row>
    <row r="40" customFormat="false" ht="15" hidden="false" customHeight="false" outlineLevel="0" collapsed="false">
      <c r="A40" s="2" t="s">
        <v>156</v>
      </c>
      <c r="B40" s="2" t="s">
        <v>157</v>
      </c>
      <c r="C40" s="2" t="s">
        <v>158</v>
      </c>
      <c r="D40" s="3"/>
      <c r="E40" s="3"/>
      <c r="F40" s="2"/>
      <c r="G40" s="2"/>
      <c r="H40" s="2"/>
    </row>
    <row r="41" customFormat="false" ht="15" hidden="false" customHeight="false" outlineLevel="0" collapsed="false">
      <c r="A41" s="2" t="s">
        <v>159</v>
      </c>
      <c r="B41" s="2" t="s">
        <v>160</v>
      </c>
      <c r="C41" s="2" t="s">
        <v>161</v>
      </c>
      <c r="D41" s="3" t="n">
        <v>2300000</v>
      </c>
      <c r="E41" s="3" t="n">
        <v>3600000</v>
      </c>
      <c r="F41" s="2" t="s">
        <v>87</v>
      </c>
      <c r="G41" s="2" t="s">
        <v>56</v>
      </c>
      <c r="H41" s="2" t="s">
        <v>27</v>
      </c>
    </row>
    <row r="42" customFormat="false" ht="15" hidden="false" customHeight="false" outlineLevel="0" collapsed="false">
      <c r="A42" s="2" t="s">
        <v>162</v>
      </c>
      <c r="B42" s="2" t="s">
        <v>163</v>
      </c>
      <c r="C42" s="2" t="s">
        <v>16</v>
      </c>
      <c r="D42" s="3" t="n">
        <v>1950000</v>
      </c>
      <c r="E42" s="3" t="n">
        <v>4216000</v>
      </c>
      <c r="F42" s="2" t="s">
        <v>164</v>
      </c>
      <c r="G42" s="2" t="s">
        <v>18</v>
      </c>
      <c r="H42" s="2" t="s">
        <v>19</v>
      </c>
    </row>
    <row r="43" customFormat="false" ht="15" hidden="false" customHeight="false" outlineLevel="0" collapsed="false">
      <c r="A43" s="2" t="s">
        <v>165</v>
      </c>
      <c r="B43" s="2" t="s">
        <v>166</v>
      </c>
      <c r="C43" s="2" t="s">
        <v>167</v>
      </c>
      <c r="D43" s="3" t="n">
        <v>2500000</v>
      </c>
      <c r="E43" s="3" t="n">
        <v>3600000</v>
      </c>
      <c r="F43" s="2" t="s">
        <v>87</v>
      </c>
      <c r="G43" s="2" t="s">
        <v>168</v>
      </c>
      <c r="H43" s="2" t="s">
        <v>27</v>
      </c>
    </row>
    <row r="44" customFormat="false" ht="15" hidden="false" customHeight="false" outlineLevel="0" collapsed="false">
      <c r="A44" s="2" t="s">
        <v>169</v>
      </c>
      <c r="B44" s="2" t="s">
        <v>170</v>
      </c>
      <c r="C44" s="2" t="s">
        <v>171</v>
      </c>
      <c r="D44" s="3" t="n">
        <v>2168100</v>
      </c>
      <c r="E44" s="3" t="n">
        <v>2768100</v>
      </c>
      <c r="F44" s="2" t="s">
        <v>87</v>
      </c>
      <c r="G44" s="2" t="s">
        <v>168</v>
      </c>
      <c r="H44" s="2" t="s">
        <v>27</v>
      </c>
    </row>
    <row r="45" customFormat="false" ht="15" hidden="false" customHeight="false" outlineLevel="0" collapsed="false">
      <c r="A45" s="2" t="s">
        <v>172</v>
      </c>
      <c r="B45" s="2" t="s">
        <v>173</v>
      </c>
      <c r="C45" s="2" t="s">
        <v>134</v>
      </c>
      <c r="D45" s="3" t="n">
        <v>1800000</v>
      </c>
      <c r="E45" s="3" t="n">
        <v>1886400</v>
      </c>
      <c r="F45" s="2" t="s">
        <v>135</v>
      </c>
      <c r="G45" s="2" t="s">
        <v>136</v>
      </c>
      <c r="H45" s="2" t="s">
        <v>137</v>
      </c>
    </row>
    <row r="46" customFormat="false" ht="15" hidden="false" customHeight="false" outlineLevel="0" collapsed="false">
      <c r="A46" s="2" t="s">
        <v>174</v>
      </c>
      <c r="B46" s="2" t="s">
        <v>175</v>
      </c>
      <c r="C46" s="2" t="s">
        <v>176</v>
      </c>
      <c r="D46" s="3" t="n">
        <v>1800000</v>
      </c>
      <c r="E46" s="3" t="n">
        <v>2733050</v>
      </c>
      <c r="F46" s="2" t="s">
        <v>177</v>
      </c>
      <c r="G46" s="2" t="s">
        <v>168</v>
      </c>
      <c r="H46" s="2" t="s">
        <v>178</v>
      </c>
    </row>
    <row r="47" customFormat="false" ht="15" hidden="false" customHeight="false" outlineLevel="0" collapsed="false">
      <c r="A47" s="2" t="s">
        <v>179</v>
      </c>
      <c r="B47" s="2" t="s">
        <v>180</v>
      </c>
      <c r="C47" s="2" t="s">
        <v>60</v>
      </c>
      <c r="D47" s="3" t="n">
        <v>1976604</v>
      </c>
      <c r="E47" s="3" t="n">
        <v>2000004</v>
      </c>
      <c r="F47" s="2" t="s">
        <v>61</v>
      </c>
      <c r="G47" s="2" t="s">
        <v>62</v>
      </c>
      <c r="H47" s="2" t="s">
        <v>63</v>
      </c>
    </row>
    <row r="48" customFormat="false" ht="15" hidden="false" customHeight="false" outlineLevel="0" collapsed="false">
      <c r="A48" s="2" t="s">
        <v>181</v>
      </c>
      <c r="B48" s="2" t="s">
        <v>182</v>
      </c>
      <c r="C48" s="2" t="s">
        <v>82</v>
      </c>
      <c r="D48" s="3" t="n">
        <v>1850000</v>
      </c>
      <c r="E48" s="3" t="n">
        <v>3250000</v>
      </c>
      <c r="F48" s="2" t="s">
        <v>83</v>
      </c>
      <c r="G48" s="2" t="s">
        <v>12</v>
      </c>
      <c r="H48" s="2" t="s">
        <v>27</v>
      </c>
    </row>
    <row r="49" customFormat="false" ht="15" hidden="false" customHeight="false" outlineLevel="0" collapsed="false">
      <c r="A49" s="2" t="s">
        <v>183</v>
      </c>
      <c r="B49" s="2" t="s">
        <v>184</v>
      </c>
      <c r="C49" s="2" t="s">
        <v>185</v>
      </c>
      <c r="D49" s="3" t="n">
        <v>1600000</v>
      </c>
      <c r="E49" s="3" t="n">
        <v>2100000</v>
      </c>
      <c r="F49" s="2" t="s">
        <v>79</v>
      </c>
      <c r="G49" s="2" t="s">
        <v>186</v>
      </c>
      <c r="H49" s="2" t="s">
        <v>187</v>
      </c>
    </row>
    <row r="50" customFormat="false" ht="15" hidden="false" customHeight="false" outlineLevel="0" collapsed="false">
      <c r="A50" s="2" t="s">
        <v>188</v>
      </c>
      <c r="B50" s="2" t="s">
        <v>189</v>
      </c>
      <c r="C50" s="2" t="s">
        <v>30</v>
      </c>
      <c r="D50" s="3" t="n">
        <v>2200000</v>
      </c>
      <c r="E50" s="3" t="n">
        <v>3992500</v>
      </c>
      <c r="F50" s="2" t="s">
        <v>31</v>
      </c>
      <c r="G50" s="2" t="s">
        <v>18</v>
      </c>
      <c r="H50" s="2" t="s">
        <v>32</v>
      </c>
    </row>
    <row r="51" customFormat="false" ht="15" hidden="false" customHeight="false" outlineLevel="0" collapsed="false">
      <c r="A51" s="2" t="s">
        <v>190</v>
      </c>
      <c r="B51" s="2" t="s">
        <v>191</v>
      </c>
      <c r="C51" s="2" t="s">
        <v>30</v>
      </c>
      <c r="D51" s="3" t="n">
        <v>2200000</v>
      </c>
      <c r="E51" s="3" t="n">
        <v>3992500</v>
      </c>
      <c r="F51" s="2" t="s">
        <v>31</v>
      </c>
      <c r="G51" s="2" t="s">
        <v>18</v>
      </c>
      <c r="H51" s="2" t="s">
        <v>32</v>
      </c>
    </row>
    <row r="52" customFormat="false" ht="15" hidden="false" customHeight="false" outlineLevel="0" collapsed="false">
      <c r="A52" s="2" t="s">
        <v>192</v>
      </c>
      <c r="B52" s="2" t="s">
        <v>193</v>
      </c>
      <c r="C52" s="2" t="s">
        <v>134</v>
      </c>
      <c r="D52" s="3" t="n">
        <v>1800000</v>
      </c>
      <c r="E52" s="3" t="n">
        <v>1886400</v>
      </c>
      <c r="F52" s="2" t="s">
        <v>194</v>
      </c>
      <c r="G52" s="2" t="s">
        <v>136</v>
      </c>
      <c r="H52" s="2" t="s">
        <v>195</v>
      </c>
    </row>
    <row r="53" customFormat="false" ht="15" hidden="false" customHeight="false" outlineLevel="0" collapsed="false">
      <c r="A53" s="2" t="s">
        <v>196</v>
      </c>
      <c r="B53" s="2" t="s">
        <v>15</v>
      </c>
      <c r="C53" s="2" t="s">
        <v>197</v>
      </c>
      <c r="D53" s="3" t="n">
        <v>2000000</v>
      </c>
      <c r="E53" s="3" t="n">
        <v>2600000</v>
      </c>
      <c r="F53" s="2" t="s">
        <v>198</v>
      </c>
      <c r="G53" s="2" t="s">
        <v>88</v>
      </c>
      <c r="H53" s="2" t="s">
        <v>27</v>
      </c>
    </row>
    <row r="54" customFormat="false" ht="15" hidden="false" customHeight="false" outlineLevel="0" collapsed="false">
      <c r="A54" s="2" t="s">
        <v>199</v>
      </c>
      <c r="B54" s="2" t="s">
        <v>200</v>
      </c>
      <c r="C54" s="2" t="s">
        <v>201</v>
      </c>
      <c r="D54" s="3" t="n">
        <v>1225168</v>
      </c>
      <c r="E54" s="3" t="n">
        <v>1500000</v>
      </c>
      <c r="F54" s="2" t="s">
        <v>202</v>
      </c>
      <c r="G54" s="2" t="s">
        <v>26</v>
      </c>
      <c r="H54" s="2" t="s">
        <v>203</v>
      </c>
    </row>
    <row r="55" customFormat="false" ht="15" hidden="false" customHeight="false" outlineLevel="0" collapsed="false">
      <c r="A55" s="2" t="s">
        <v>204</v>
      </c>
      <c r="B55" s="2" t="s">
        <v>205</v>
      </c>
      <c r="C55" s="2" t="s">
        <v>201</v>
      </c>
      <c r="D55" s="3" t="n">
        <v>1225168</v>
      </c>
      <c r="E55" s="3" t="n">
        <v>1500000</v>
      </c>
      <c r="F55" s="2" t="s">
        <v>202</v>
      </c>
      <c r="G55" s="2" t="s">
        <v>206</v>
      </c>
      <c r="H55" s="2" t="s">
        <v>203</v>
      </c>
    </row>
    <row r="56" customFormat="false" ht="15" hidden="false" customHeight="false" outlineLevel="0" collapsed="false">
      <c r="A56" s="2" t="s">
        <v>207</v>
      </c>
      <c r="B56" s="2" t="s">
        <v>208</v>
      </c>
      <c r="C56" s="2" t="s">
        <v>16</v>
      </c>
      <c r="D56" s="3" t="n">
        <v>1950000</v>
      </c>
      <c r="E56" s="3" t="n">
        <v>4216000</v>
      </c>
      <c r="F56" s="2" t="s">
        <v>17</v>
      </c>
      <c r="G56" s="2" t="s">
        <v>18</v>
      </c>
      <c r="H56" s="2" t="s">
        <v>19</v>
      </c>
    </row>
    <row r="57" customFormat="false" ht="15" hidden="false" customHeight="false" outlineLevel="0" collapsed="false">
      <c r="A57" s="2" t="s">
        <v>209</v>
      </c>
      <c r="B57" s="2" t="s">
        <v>210</v>
      </c>
      <c r="C57" s="2" t="s">
        <v>86</v>
      </c>
      <c r="D57" s="3" t="n">
        <v>1650000</v>
      </c>
      <c r="E57" s="3" t="n">
        <v>1650000</v>
      </c>
      <c r="F57" s="2" t="s">
        <v>87</v>
      </c>
      <c r="G57" s="2" t="s">
        <v>88</v>
      </c>
      <c r="H57" s="2" t="s">
        <v>89</v>
      </c>
    </row>
    <row r="58" customFormat="false" ht="15" hidden="false" customHeight="false" outlineLevel="0" collapsed="false">
      <c r="A58" s="2" t="s">
        <v>211</v>
      </c>
      <c r="B58" s="2" t="s">
        <v>212</v>
      </c>
      <c r="C58" s="2" t="s">
        <v>86</v>
      </c>
      <c r="D58" s="3" t="n">
        <v>1650000</v>
      </c>
      <c r="E58" s="3" t="n">
        <v>1650000</v>
      </c>
      <c r="F58" s="2" t="s">
        <v>87</v>
      </c>
      <c r="G58" s="2" t="s">
        <v>88</v>
      </c>
      <c r="H58" s="2" t="s">
        <v>89</v>
      </c>
    </row>
    <row r="59" customFormat="false" ht="15" hidden="false" customHeight="false" outlineLevel="0" collapsed="false">
      <c r="A59" s="2" t="s">
        <v>213</v>
      </c>
      <c r="B59" s="2" t="s">
        <v>214</v>
      </c>
      <c r="C59" s="2" t="s">
        <v>171</v>
      </c>
      <c r="D59" s="3" t="n">
        <v>2168100</v>
      </c>
      <c r="E59" s="3" t="n">
        <v>2768100</v>
      </c>
      <c r="F59" s="2" t="s">
        <v>87</v>
      </c>
      <c r="G59" s="2" t="s">
        <v>168</v>
      </c>
      <c r="H59" s="2" t="s">
        <v>27</v>
      </c>
    </row>
    <row r="60" customFormat="false" ht="15" hidden="false" customHeight="false" outlineLevel="0" collapsed="false">
      <c r="A60" s="2" t="s">
        <v>215</v>
      </c>
      <c r="B60" s="2" t="s">
        <v>216</v>
      </c>
      <c r="C60" s="2" t="s">
        <v>217</v>
      </c>
      <c r="D60" s="3" t="n">
        <v>2306191</v>
      </c>
      <c r="E60" s="3" t="n">
        <v>3000000</v>
      </c>
      <c r="F60" s="2" t="s">
        <v>218</v>
      </c>
      <c r="G60" s="2" t="s">
        <v>12</v>
      </c>
      <c r="H60" s="2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11" min="6" style="0" width="15"/>
  </cols>
  <sheetData>
    <row r="1" customFormat="false" ht="30" hidden="false" customHeight="true" outlineLevel="0" collapsed="false">
      <c r="A1" s="1" t="s">
        <v>2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</row>
    <row r="2" customFormat="false" ht="15" hidden="false" customHeight="false" outlineLevel="0" collapsed="false">
      <c r="A2" s="4" t="s">
        <v>128</v>
      </c>
      <c r="B2" s="4" t="n">
        <f aca="false">COUNTIF('Raw Data'!$C$2:$C$60,A2)</f>
        <v>1</v>
      </c>
      <c r="C2" s="5" t="s">
        <v>45</v>
      </c>
      <c r="D2" s="5" t="s">
        <v>129</v>
      </c>
      <c r="E2" s="5" t="s">
        <v>46</v>
      </c>
      <c r="F2" s="6" t="n">
        <f aca="false">IF(COUNTIFS('Raw Data'!$C$2:$C$60,A2,'Raw Data'!$D$2:$D$60,"&lt;&gt;")=0,"N/A",_xlfn.MINIFS('Raw Data'!$D$2:$D$60,'Raw Data'!$C$2:$C$60,A2))</f>
        <v>1500000</v>
      </c>
      <c r="G2" s="6" t="n">
        <f aca="false" t="array" ref="G2:G2">IF(COUNTIFS('Raw Data'!$C$2:$C$60,A2,'Raw Data'!$D$2:$D$60,"&lt;&gt;")=0,"N/A",MEDIAN(IF('Raw Data'!$C$2:$C$60=A2,'Raw Data'!$D$2:$D$60)))</f>
        <v>1500000</v>
      </c>
      <c r="H2" s="6" t="n">
        <f aca="false">IF(COUNTIFS('Raw Data'!$C$2:$C$60,A2,'Raw Data'!$D$2:$D$60,"&lt;&gt;")=0,"N/A",_xlfn.MAXIFS('Raw Data'!$D$2:$D$60,'Raw Data'!$C$2:$C$60,A2))</f>
        <v>1500000</v>
      </c>
      <c r="I2" s="6" t="n">
        <f aca="false">IF(COUNTIFS('Raw Data'!$C$2:$C$60,A2,'Raw Data'!$E$2:$E$60,"&lt;&gt;")=0,"N/A",_xlfn.MINIFS('Raw Data'!$E$2:$E$60,'Raw Data'!$C$2:$C$60,A2))</f>
        <v>2255800</v>
      </c>
      <c r="J2" s="6" t="n">
        <f aca="false" t="array" ref="J2:J2">IF(COUNTIFS('Raw Data'!$C$2:$C$60,A2,'Raw Data'!$E$2:$E$60,"&lt;&gt;")=0,"N/A",MEDIAN(IF('Raw Data'!$C$2:$C$60=A2,'Raw Data'!$E$2:$E$60)))</f>
        <v>2255800</v>
      </c>
      <c r="K2" s="6" t="n">
        <f aca="false">IF(COUNTIFS('Raw Data'!$C$2:$C$60,A2,'Raw Data'!$E$2:$E$60,"&lt;&gt;")=0,"N/A",_xlfn.MAXIFS('Raw Data'!$E$2:$E$60,'Raw Data'!$C$2:$C$60,A2))</f>
        <v>2255800</v>
      </c>
    </row>
    <row r="3" customFormat="false" ht="15" hidden="false" customHeight="false" outlineLevel="0" collapsed="false">
      <c r="A3" s="4" t="s">
        <v>30</v>
      </c>
      <c r="B3" s="4" t="n">
        <f aca="false">COUNTIF('Raw Data'!$C$2:$C$60,A3)</f>
        <v>5</v>
      </c>
      <c r="C3" s="5" t="s">
        <v>18</v>
      </c>
      <c r="D3" s="5" t="s">
        <v>31</v>
      </c>
      <c r="E3" s="5" t="s">
        <v>32</v>
      </c>
      <c r="F3" s="6" t="n">
        <f aca="false">IF(COUNTIFS('Raw Data'!$C$2:$C$60,A3,'Raw Data'!$D$2:$D$60,"&lt;&gt;")=0,"N/A",_xlfn.MINIFS('Raw Data'!$D$2:$D$60,'Raw Data'!$C$2:$C$60,A3))</f>
        <v>2200000</v>
      </c>
      <c r="G3" s="6" t="n">
        <f aca="false" t="array" ref="G3:G3">IF(COUNTIFS('Raw Data'!$C$2:$C$60,A3,'Raw Data'!$D$2:$D$60,"&lt;&gt;")=0,"N/A",MEDIAN(IF('Raw Data'!$C$2:$C$60=A3,'Raw Data'!$D$2:$D$60)))</f>
        <v>2200000</v>
      </c>
      <c r="H3" s="6" t="n">
        <f aca="false">IF(COUNTIFS('Raw Data'!$C$2:$C$60,A3,'Raw Data'!$D$2:$D$60,"&lt;&gt;")=0,"N/A",_xlfn.MAXIFS('Raw Data'!$D$2:$D$60,'Raw Data'!$C$2:$C$60,A3))</f>
        <v>2200000</v>
      </c>
      <c r="I3" s="6" t="n">
        <f aca="false">IF(COUNTIFS('Raw Data'!$C$2:$C$60,A3,'Raw Data'!$E$2:$E$60,"&lt;&gt;")=0,"N/A",_xlfn.MINIFS('Raw Data'!$E$2:$E$60,'Raw Data'!$C$2:$C$60,A3))</f>
        <v>3992500</v>
      </c>
      <c r="J3" s="6" t="n">
        <f aca="false" t="array" ref="J3:J3">IF(COUNTIFS('Raw Data'!$C$2:$C$60,A3,'Raw Data'!$E$2:$E$60,"&lt;&gt;")=0,"N/A",MEDIAN(IF('Raw Data'!$C$2:$C$60=A3,'Raw Data'!$E$2:$E$60)))</f>
        <v>3992500</v>
      </c>
      <c r="K3" s="6" t="n">
        <f aca="false">IF(COUNTIFS('Raw Data'!$C$2:$C$60,A3,'Raw Data'!$E$2:$E$60,"&lt;&gt;")=0,"N/A",_xlfn.MAXIFS('Raw Data'!$E$2:$E$60,'Raw Data'!$C$2:$C$60,A3))</f>
        <v>3992500</v>
      </c>
    </row>
    <row r="4" customFormat="false" ht="23.85" hidden="false" customHeight="false" outlineLevel="0" collapsed="false">
      <c r="A4" s="4" t="s">
        <v>86</v>
      </c>
      <c r="B4" s="4" t="n">
        <f aca="false">COUNTIF('Raw Data'!$C$2:$C$60,A4)</f>
        <v>4</v>
      </c>
      <c r="C4" s="5" t="s">
        <v>88</v>
      </c>
      <c r="D4" s="5" t="s">
        <v>87</v>
      </c>
      <c r="E4" s="5" t="s">
        <v>89</v>
      </c>
      <c r="F4" s="6" t="n">
        <f aca="false">IF(COUNTIFS('Raw Data'!$C$2:$C$60,A4,'Raw Data'!$D$2:$D$60,"&lt;&gt;")=0,"N/A",_xlfn.MINIFS('Raw Data'!$D$2:$D$60,'Raw Data'!$C$2:$C$60,A4))</f>
        <v>1650000</v>
      </c>
      <c r="G4" s="6" t="n">
        <f aca="false" t="array" ref="G4:G4">IF(COUNTIFS('Raw Data'!$C$2:$C$60,A4,'Raw Data'!$D$2:$D$60,"&lt;&gt;")=0,"N/A",MEDIAN(IF('Raw Data'!$C$2:$C$60=A4,'Raw Data'!$D$2:$D$60)))</f>
        <v>1650000</v>
      </c>
      <c r="H4" s="6" t="n">
        <f aca="false">IF(COUNTIFS('Raw Data'!$C$2:$C$60,A4,'Raw Data'!$D$2:$D$60,"&lt;&gt;")=0,"N/A",_xlfn.MAXIFS('Raw Data'!$D$2:$D$60,'Raw Data'!$C$2:$C$60,A4))</f>
        <v>1650000</v>
      </c>
      <c r="I4" s="6" t="n">
        <f aca="false">IF(COUNTIFS('Raw Data'!$C$2:$C$60,A4,'Raw Data'!$E$2:$E$60,"&lt;&gt;")=0,"N/A",_xlfn.MINIFS('Raw Data'!$E$2:$E$60,'Raw Data'!$C$2:$C$60,A4))</f>
        <v>1650000</v>
      </c>
      <c r="J4" s="6" t="n">
        <f aca="false" t="array" ref="J4:J4">IF(COUNTIFS('Raw Data'!$C$2:$C$60,A4,'Raw Data'!$E$2:$E$60,"&lt;&gt;")=0,"N/A",MEDIAN(IF('Raw Data'!$C$2:$C$60=A4,'Raw Data'!$E$2:$E$60)))</f>
        <v>1650000</v>
      </c>
      <c r="K4" s="6" t="n">
        <f aca="false">IF(COUNTIFS('Raw Data'!$C$2:$C$60,A4,'Raw Data'!$E$2:$E$60,"&lt;&gt;")=0,"N/A",_xlfn.MAXIFS('Raw Data'!$E$2:$E$60,'Raw Data'!$C$2:$C$60,A4))</f>
        <v>1650000</v>
      </c>
    </row>
    <row r="5" customFormat="false" ht="15" hidden="false" customHeight="false" outlineLevel="0" collapsed="false">
      <c r="A5" s="4" t="s">
        <v>171</v>
      </c>
      <c r="B5" s="4" t="n">
        <f aca="false">COUNTIF('Raw Data'!$C$2:$C$60,A5)</f>
        <v>2</v>
      </c>
      <c r="C5" s="5" t="s">
        <v>168</v>
      </c>
      <c r="D5" s="5" t="s">
        <v>87</v>
      </c>
      <c r="E5" s="5" t="s">
        <v>27</v>
      </c>
      <c r="F5" s="6" t="n">
        <f aca="false">IF(COUNTIFS('Raw Data'!$C$2:$C$60,A5,'Raw Data'!$D$2:$D$60,"&lt;&gt;")=0,"N/A",_xlfn.MINIFS('Raw Data'!$D$2:$D$60,'Raw Data'!$C$2:$C$60,A5))</f>
        <v>2168100</v>
      </c>
      <c r="G5" s="6" t="n">
        <f aca="false" t="array" ref="G5:G5">IF(COUNTIFS('Raw Data'!$C$2:$C$60,A5,'Raw Data'!$D$2:$D$60,"&lt;&gt;")=0,"N/A",MEDIAN(IF('Raw Data'!$C$2:$C$60=A5,'Raw Data'!$D$2:$D$60)))</f>
        <v>2168100</v>
      </c>
      <c r="H5" s="6" t="n">
        <f aca="false">IF(COUNTIFS('Raw Data'!$C$2:$C$60,A5,'Raw Data'!$D$2:$D$60,"&lt;&gt;")=0,"N/A",_xlfn.MAXIFS('Raw Data'!$D$2:$D$60,'Raw Data'!$C$2:$C$60,A5))</f>
        <v>2168100</v>
      </c>
      <c r="I5" s="6" t="n">
        <f aca="false">IF(COUNTIFS('Raw Data'!$C$2:$C$60,A5,'Raw Data'!$E$2:$E$60,"&lt;&gt;")=0,"N/A",_xlfn.MINIFS('Raw Data'!$E$2:$E$60,'Raw Data'!$C$2:$C$60,A5))</f>
        <v>2768100</v>
      </c>
      <c r="J5" s="6" t="n">
        <f aca="false" t="array" ref="J5:J5">IF(COUNTIFS('Raw Data'!$C$2:$C$60,A5,'Raw Data'!$E$2:$E$60,"&lt;&gt;")=0,"N/A",MEDIAN(IF('Raw Data'!$C$2:$C$60=A5,'Raw Data'!$E$2:$E$60)))</f>
        <v>2768100</v>
      </c>
      <c r="K5" s="6" t="n">
        <f aca="false">IF(COUNTIFS('Raw Data'!$C$2:$C$60,A5,'Raw Data'!$E$2:$E$60,"&lt;&gt;")=0,"N/A",_xlfn.MAXIFS('Raw Data'!$E$2:$E$60,'Raw Data'!$C$2:$C$60,A5))</f>
        <v>2768100</v>
      </c>
    </row>
    <row r="6" customFormat="false" ht="15" hidden="false" customHeight="false" outlineLevel="0" collapsed="false">
      <c r="A6" s="4" t="s">
        <v>161</v>
      </c>
      <c r="B6" s="4" t="n">
        <f aca="false">COUNTIF('Raw Data'!$C$2:$C$60,A6)</f>
        <v>1</v>
      </c>
      <c r="C6" s="5" t="s">
        <v>56</v>
      </c>
      <c r="D6" s="5" t="s">
        <v>87</v>
      </c>
      <c r="E6" s="5" t="s">
        <v>27</v>
      </c>
      <c r="F6" s="6" t="n">
        <f aca="false">IF(COUNTIFS('Raw Data'!$C$2:$C$60,A6,'Raw Data'!$D$2:$D$60,"&lt;&gt;")=0,"N/A",_xlfn.MINIFS('Raw Data'!$D$2:$D$60,'Raw Data'!$C$2:$C$60,A6))</f>
        <v>2300000</v>
      </c>
      <c r="G6" s="6" t="n">
        <f aca="false" t="array" ref="G6:G6">IF(COUNTIFS('Raw Data'!$C$2:$C$60,A6,'Raw Data'!$D$2:$D$60,"&lt;&gt;")=0,"N/A",MEDIAN(IF('Raw Data'!$C$2:$C$60=A6,'Raw Data'!$D$2:$D$60)))</f>
        <v>2300000</v>
      </c>
      <c r="H6" s="6" t="n">
        <f aca="false">IF(COUNTIFS('Raw Data'!$C$2:$C$60,A6,'Raw Data'!$D$2:$D$60,"&lt;&gt;")=0,"N/A",_xlfn.MAXIFS('Raw Data'!$D$2:$D$60,'Raw Data'!$C$2:$C$60,A6))</f>
        <v>2300000</v>
      </c>
      <c r="I6" s="6" t="n">
        <f aca="false">IF(COUNTIFS('Raw Data'!$C$2:$C$60,A6,'Raw Data'!$E$2:$E$60,"&lt;&gt;")=0,"N/A",_xlfn.MINIFS('Raw Data'!$E$2:$E$60,'Raw Data'!$C$2:$C$60,A6))</f>
        <v>3600000</v>
      </c>
      <c r="J6" s="6" t="n">
        <f aca="false" t="array" ref="J6:J6">IF(COUNTIFS('Raw Data'!$C$2:$C$60,A6,'Raw Data'!$E$2:$E$60,"&lt;&gt;")=0,"N/A",MEDIAN(IF('Raw Data'!$C$2:$C$60=A6,'Raw Data'!$E$2:$E$60)))</f>
        <v>3600000</v>
      </c>
      <c r="K6" s="6" t="n">
        <f aca="false">IF(COUNTIFS('Raw Data'!$C$2:$C$60,A6,'Raw Data'!$E$2:$E$60,"&lt;&gt;")=0,"N/A",_xlfn.MAXIFS('Raw Data'!$E$2:$E$60,'Raw Data'!$C$2:$C$60,A6))</f>
        <v>3600000</v>
      </c>
    </row>
    <row r="7" customFormat="false" ht="15" hidden="false" customHeight="false" outlineLevel="0" collapsed="false">
      <c r="A7" s="4" t="s">
        <v>37</v>
      </c>
      <c r="B7" s="4" t="n">
        <f aca="false">COUNTIF('Raw Data'!$C$2:$C$60,A7)</f>
        <v>1</v>
      </c>
      <c r="C7" s="5" t="s">
        <v>39</v>
      </c>
      <c r="D7" s="5" t="s">
        <v>38</v>
      </c>
      <c r="E7" s="5" t="s">
        <v>40</v>
      </c>
      <c r="F7" s="6" t="n">
        <f aca="false">IF(COUNTIFS('Raw Data'!$C$2:$C$60,A7,'Raw Data'!$D$2:$D$60,"&lt;&gt;")=0,"N/A",_xlfn.MINIFS('Raw Data'!$D$2:$D$60,'Raw Data'!$C$2:$C$60,A7))</f>
        <v>2235110</v>
      </c>
      <c r="G7" s="6" t="n">
        <f aca="false" t="array" ref="G7:G7">IF(COUNTIFS('Raw Data'!$C$2:$C$60,A7,'Raw Data'!$D$2:$D$60,"&lt;&gt;")=0,"N/A",MEDIAN(IF('Raw Data'!$C$2:$C$60=A7,'Raw Data'!$D$2:$D$60)))</f>
        <v>2235110</v>
      </c>
      <c r="H7" s="6" t="n">
        <f aca="false">IF(COUNTIFS('Raw Data'!$C$2:$C$60,A7,'Raw Data'!$D$2:$D$60,"&lt;&gt;")=0,"N/A",_xlfn.MAXIFS('Raw Data'!$D$2:$D$60,'Raw Data'!$C$2:$C$60,A7))</f>
        <v>2235110</v>
      </c>
      <c r="I7" s="6" t="n">
        <f aca="false">IF(COUNTIFS('Raw Data'!$C$2:$C$60,A7,'Raw Data'!$E$2:$E$60,"&lt;&gt;")=0,"N/A",_xlfn.MINIFS('Raw Data'!$E$2:$E$60,'Raw Data'!$C$2:$C$60,A7))</f>
        <v>2235110</v>
      </c>
      <c r="J7" s="6" t="n">
        <f aca="false" t="array" ref="J7:J7">IF(COUNTIFS('Raw Data'!$C$2:$C$60,A7,'Raw Data'!$E$2:$E$60,"&lt;&gt;")=0,"N/A",MEDIAN(IF('Raw Data'!$C$2:$C$60=A7,'Raw Data'!$E$2:$E$60)))</f>
        <v>2235110</v>
      </c>
      <c r="K7" s="6" t="n">
        <f aca="false">IF(COUNTIFS('Raw Data'!$C$2:$C$60,A7,'Raw Data'!$E$2:$E$60,"&lt;&gt;")=0,"N/A",_xlfn.MAXIFS('Raw Data'!$E$2:$E$60,'Raw Data'!$C$2:$C$60,A7))</f>
        <v>2235110</v>
      </c>
    </row>
    <row r="8" customFormat="false" ht="15" hidden="false" customHeight="false" outlineLevel="0" collapsed="false">
      <c r="A8" s="4" t="s">
        <v>105</v>
      </c>
      <c r="B8" s="4" t="n">
        <f aca="false">COUNTIF('Raw Data'!$C$2:$C$60,A8)</f>
        <v>1</v>
      </c>
      <c r="C8" s="5" t="s">
        <v>88</v>
      </c>
      <c r="D8" s="5" t="s">
        <v>106</v>
      </c>
      <c r="E8" s="5" t="s">
        <v>107</v>
      </c>
      <c r="F8" s="6" t="n">
        <f aca="false">IF(COUNTIFS('Raw Data'!$C$2:$C$60,A8,'Raw Data'!$D$2:$D$60,"&lt;&gt;")=0,"N/A",_xlfn.MINIFS('Raw Data'!$D$2:$D$60,'Raw Data'!$C$2:$C$60,A8))</f>
        <v>1800000</v>
      </c>
      <c r="G8" s="6" t="n">
        <f aca="false" t="array" ref="G8:G8">IF(COUNTIFS('Raw Data'!$C$2:$C$60,A8,'Raw Data'!$D$2:$D$60,"&lt;&gt;")=0,"N/A",MEDIAN(IF('Raw Data'!$C$2:$C$60=A8,'Raw Data'!$D$2:$D$60)))</f>
        <v>1800000</v>
      </c>
      <c r="H8" s="6" t="n">
        <f aca="false">IF(COUNTIFS('Raw Data'!$C$2:$C$60,A8,'Raw Data'!$D$2:$D$60,"&lt;&gt;")=0,"N/A",_xlfn.MAXIFS('Raw Data'!$D$2:$D$60,'Raw Data'!$C$2:$C$60,A8))</f>
        <v>1800000</v>
      </c>
      <c r="I8" s="6" t="n">
        <f aca="false">IF(COUNTIFS('Raw Data'!$C$2:$C$60,A8,'Raw Data'!$E$2:$E$60,"&lt;&gt;")=0,"N/A",_xlfn.MINIFS('Raw Data'!$E$2:$E$60,'Raw Data'!$C$2:$C$60,A8))</f>
        <v>1980000</v>
      </c>
      <c r="J8" s="6" t="n">
        <f aca="false" t="array" ref="J8:J8">IF(COUNTIFS('Raw Data'!$C$2:$C$60,A8,'Raw Data'!$E$2:$E$60,"&lt;&gt;")=0,"N/A",MEDIAN(IF('Raw Data'!$C$2:$C$60=A8,'Raw Data'!$E$2:$E$60)))</f>
        <v>1980000</v>
      </c>
      <c r="K8" s="6" t="n">
        <f aca="false">IF(COUNTIFS('Raw Data'!$C$2:$C$60,A8,'Raw Data'!$E$2:$E$60,"&lt;&gt;")=0,"N/A",_xlfn.MAXIFS('Raw Data'!$E$2:$E$60,'Raw Data'!$C$2:$C$60,A8))</f>
        <v>1980000</v>
      </c>
    </row>
    <row r="9" customFormat="false" ht="15" hidden="false" customHeight="false" outlineLevel="0" collapsed="false">
      <c r="A9" s="4" t="s">
        <v>167</v>
      </c>
      <c r="B9" s="4" t="n">
        <f aca="false">COUNTIF('Raw Data'!$C$2:$C$60,A9)</f>
        <v>1</v>
      </c>
      <c r="C9" s="5" t="s">
        <v>168</v>
      </c>
      <c r="D9" s="5" t="s">
        <v>87</v>
      </c>
      <c r="E9" s="5" t="s">
        <v>27</v>
      </c>
      <c r="F9" s="6" t="n">
        <f aca="false">IF(COUNTIFS('Raw Data'!$C$2:$C$60,A9,'Raw Data'!$D$2:$D$60,"&lt;&gt;")=0,"N/A",_xlfn.MINIFS('Raw Data'!$D$2:$D$60,'Raw Data'!$C$2:$C$60,A9))</f>
        <v>2500000</v>
      </c>
      <c r="G9" s="6" t="n">
        <f aca="false" t="array" ref="G9:G9">IF(COUNTIFS('Raw Data'!$C$2:$C$60,A9,'Raw Data'!$D$2:$D$60,"&lt;&gt;")=0,"N/A",MEDIAN(IF('Raw Data'!$C$2:$C$60=A9,'Raw Data'!$D$2:$D$60)))</f>
        <v>2500000</v>
      </c>
      <c r="H9" s="6" t="n">
        <f aca="false">IF(COUNTIFS('Raw Data'!$C$2:$C$60,A9,'Raw Data'!$D$2:$D$60,"&lt;&gt;")=0,"N/A",_xlfn.MAXIFS('Raw Data'!$D$2:$D$60,'Raw Data'!$C$2:$C$60,A9))</f>
        <v>2500000</v>
      </c>
      <c r="I9" s="6" t="n">
        <f aca="false">IF(COUNTIFS('Raw Data'!$C$2:$C$60,A9,'Raw Data'!$E$2:$E$60,"&lt;&gt;")=0,"N/A",_xlfn.MINIFS('Raw Data'!$E$2:$E$60,'Raw Data'!$C$2:$C$60,A9))</f>
        <v>3600000</v>
      </c>
      <c r="J9" s="6" t="n">
        <f aca="false" t="array" ref="J9:J9">IF(COUNTIFS('Raw Data'!$C$2:$C$60,A9,'Raw Data'!$E$2:$E$60,"&lt;&gt;")=0,"N/A",MEDIAN(IF('Raw Data'!$C$2:$C$60=A9,'Raw Data'!$E$2:$E$60)))</f>
        <v>3600000</v>
      </c>
      <c r="K9" s="6" t="n">
        <f aca="false">IF(COUNTIFS('Raw Data'!$C$2:$C$60,A9,'Raw Data'!$E$2:$E$60,"&lt;&gt;")=0,"N/A",_xlfn.MAXIFS('Raw Data'!$E$2:$E$60,'Raw Data'!$C$2:$C$60,A9))</f>
        <v>3600000</v>
      </c>
    </row>
    <row r="10" customFormat="false" ht="15" hidden="false" customHeight="false" outlineLevel="0" collapsed="false">
      <c r="A10" s="4" t="s">
        <v>60</v>
      </c>
      <c r="B10" s="4" t="n">
        <f aca="false">COUNTIF('Raw Data'!$C$2:$C$60,A10)</f>
        <v>2</v>
      </c>
      <c r="C10" s="5" t="s">
        <v>62</v>
      </c>
      <c r="D10" s="5" t="s">
        <v>61</v>
      </c>
      <c r="E10" s="5" t="s">
        <v>63</v>
      </c>
      <c r="F10" s="6" t="n">
        <f aca="false">IF(COUNTIFS('Raw Data'!$C$2:$C$60,A10,'Raw Data'!$D$2:$D$60,"&lt;&gt;")=0,"N/A",_xlfn.MINIFS('Raw Data'!$D$2:$D$60,'Raw Data'!$C$2:$C$60,A10))</f>
        <v>1976604</v>
      </c>
      <c r="G10" s="6" t="n">
        <f aca="false" t="array" ref="G10:G10">IF(COUNTIFS('Raw Data'!$C$2:$C$60,A10,'Raw Data'!$D$2:$D$60,"&lt;&gt;")=0,"N/A",MEDIAN(IF('Raw Data'!$C$2:$C$60=A10,'Raw Data'!$D$2:$D$60)))</f>
        <v>1976604</v>
      </c>
      <c r="H10" s="6" t="n">
        <f aca="false">IF(COUNTIFS('Raw Data'!$C$2:$C$60,A10,'Raw Data'!$D$2:$D$60,"&lt;&gt;")=0,"N/A",_xlfn.MAXIFS('Raw Data'!$D$2:$D$60,'Raw Data'!$C$2:$C$60,A10))</f>
        <v>1976604</v>
      </c>
      <c r="I10" s="6" t="n">
        <f aca="false">IF(COUNTIFS('Raw Data'!$C$2:$C$60,A10,'Raw Data'!$E$2:$E$60,"&lt;&gt;")=0,"N/A",_xlfn.MINIFS('Raw Data'!$E$2:$E$60,'Raw Data'!$C$2:$C$60,A10))</f>
        <v>2000004</v>
      </c>
      <c r="J10" s="6" t="n">
        <f aca="false" t="array" ref="J10:J10">IF(COUNTIFS('Raw Data'!$C$2:$C$60,A10,'Raw Data'!$E$2:$E$60,"&lt;&gt;")=0,"N/A",MEDIAN(IF('Raw Data'!$C$2:$C$60=A10,'Raw Data'!$E$2:$E$60)))</f>
        <v>2000004</v>
      </c>
      <c r="K10" s="6" t="n">
        <f aca="false">IF(COUNTIFS('Raw Data'!$C$2:$C$60,A10,'Raw Data'!$E$2:$E$60,"&lt;&gt;")=0,"N/A",_xlfn.MAXIFS('Raw Data'!$E$2:$E$60,'Raw Data'!$C$2:$C$60,A10))</f>
        <v>2000004</v>
      </c>
    </row>
    <row r="11" customFormat="false" ht="23.85" hidden="false" customHeight="false" outlineLevel="0" collapsed="false">
      <c r="A11" s="4" t="s">
        <v>66</v>
      </c>
      <c r="B11" s="4" t="n">
        <f aca="false">COUNTIF('Raw Data'!$C$2:$C$60,A11)</f>
        <v>1</v>
      </c>
      <c r="C11" s="5" t="s">
        <v>12</v>
      </c>
      <c r="D11" s="5" t="s">
        <v>67</v>
      </c>
      <c r="E11" s="5" t="s">
        <v>27</v>
      </c>
      <c r="F11" s="6" t="n">
        <f aca="false">IF(COUNTIFS('Raw Data'!$C$2:$C$60,A11,'Raw Data'!$D$2:$D$60,"&lt;&gt;")=0,"N/A",_xlfn.MINIFS('Raw Data'!$D$2:$D$60,'Raw Data'!$C$2:$C$60,A11))</f>
        <v>2400000</v>
      </c>
      <c r="G11" s="6" t="n">
        <f aca="false" t="array" ref="G11:G11">IF(COUNTIFS('Raw Data'!$C$2:$C$60,A11,'Raw Data'!$D$2:$D$60,"&lt;&gt;")=0,"N/A",MEDIAN(IF('Raw Data'!$C$2:$C$60=A11,'Raw Data'!$D$2:$D$60)))</f>
        <v>2400000</v>
      </c>
      <c r="H11" s="6" t="n">
        <f aca="false">IF(COUNTIFS('Raw Data'!$C$2:$C$60,A11,'Raw Data'!$D$2:$D$60,"&lt;&gt;")=0,"N/A",_xlfn.MAXIFS('Raw Data'!$D$2:$D$60,'Raw Data'!$C$2:$C$60,A11))</f>
        <v>2400000</v>
      </c>
      <c r="I11" s="6" t="n">
        <f aca="false">IF(COUNTIFS('Raw Data'!$C$2:$C$60,A11,'Raw Data'!$E$2:$E$60,"&lt;&gt;")=0,"N/A",_xlfn.MINIFS('Raw Data'!$E$2:$E$60,'Raw Data'!$C$2:$C$60,A11))</f>
        <v>2700000</v>
      </c>
      <c r="J11" s="6" t="n">
        <f aca="false" t="array" ref="J11:J11">IF(COUNTIFS('Raw Data'!$C$2:$C$60,A11,'Raw Data'!$E$2:$E$60,"&lt;&gt;")=0,"N/A",MEDIAN(IF('Raw Data'!$C$2:$C$60=A11,'Raw Data'!$E$2:$E$60)))</f>
        <v>2700000</v>
      </c>
      <c r="K11" s="6" t="n">
        <f aca="false">IF(COUNTIFS('Raw Data'!$C$2:$C$60,A11,'Raw Data'!$E$2:$E$60,"&lt;&gt;")=0,"N/A",_xlfn.MAXIFS('Raw Data'!$E$2:$E$60,'Raw Data'!$C$2:$C$60,A11))</f>
        <v>2700000</v>
      </c>
    </row>
    <row r="12" customFormat="false" ht="15" hidden="false" customHeight="false" outlineLevel="0" collapsed="false">
      <c r="A12" s="4" t="s">
        <v>197</v>
      </c>
      <c r="B12" s="4" t="n">
        <f aca="false">COUNTIF('Raw Data'!$C$2:$C$60,A12)</f>
        <v>1</v>
      </c>
      <c r="C12" s="5" t="s">
        <v>88</v>
      </c>
      <c r="D12" s="5" t="s">
        <v>198</v>
      </c>
      <c r="E12" s="5" t="s">
        <v>27</v>
      </c>
      <c r="F12" s="6" t="n">
        <f aca="false">IF(COUNTIFS('Raw Data'!$C$2:$C$60,A12,'Raw Data'!$D$2:$D$60,"&lt;&gt;")=0,"N/A",_xlfn.MINIFS('Raw Data'!$D$2:$D$60,'Raw Data'!$C$2:$C$60,A12))</f>
        <v>2000000</v>
      </c>
      <c r="G12" s="6" t="n">
        <f aca="false" t="array" ref="G12:G12">IF(COUNTIFS('Raw Data'!$C$2:$C$60,A12,'Raw Data'!$D$2:$D$60,"&lt;&gt;")=0,"N/A",MEDIAN(IF('Raw Data'!$C$2:$C$60=A12,'Raw Data'!$D$2:$D$60)))</f>
        <v>2000000</v>
      </c>
      <c r="H12" s="6" t="n">
        <f aca="false">IF(COUNTIFS('Raw Data'!$C$2:$C$60,A12,'Raw Data'!$D$2:$D$60,"&lt;&gt;")=0,"N/A",_xlfn.MAXIFS('Raw Data'!$D$2:$D$60,'Raw Data'!$C$2:$C$60,A12))</f>
        <v>2000000</v>
      </c>
      <c r="I12" s="6" t="n">
        <f aca="false">IF(COUNTIFS('Raw Data'!$C$2:$C$60,A12,'Raw Data'!$E$2:$E$60,"&lt;&gt;")=0,"N/A",_xlfn.MINIFS('Raw Data'!$E$2:$E$60,'Raw Data'!$C$2:$C$60,A12))</f>
        <v>2600000</v>
      </c>
      <c r="J12" s="6" t="n">
        <f aca="false" t="array" ref="J12:J12">IF(COUNTIFS('Raw Data'!$C$2:$C$60,A12,'Raw Data'!$E$2:$E$60,"&lt;&gt;")=0,"N/A",MEDIAN(IF('Raw Data'!$C$2:$C$60=A12,'Raw Data'!$E$2:$E$60)))</f>
        <v>2600000</v>
      </c>
      <c r="K12" s="6" t="n">
        <f aca="false">IF(COUNTIFS('Raw Data'!$C$2:$C$60,A12,'Raw Data'!$E$2:$E$60,"&lt;&gt;")=0,"N/A",_xlfn.MAXIFS('Raw Data'!$E$2:$E$60,'Raw Data'!$C$2:$C$60,A12))</f>
        <v>2600000</v>
      </c>
    </row>
    <row r="13" customFormat="false" ht="15" hidden="false" customHeight="false" outlineLevel="0" collapsed="false">
      <c r="A13" s="4" t="s">
        <v>185</v>
      </c>
      <c r="B13" s="4" t="n">
        <f aca="false">COUNTIF('Raw Data'!$C$2:$C$60,A13)</f>
        <v>1</v>
      </c>
      <c r="C13" s="5" t="s">
        <v>186</v>
      </c>
      <c r="D13" s="5" t="s">
        <v>79</v>
      </c>
      <c r="E13" s="5" t="s">
        <v>187</v>
      </c>
      <c r="F13" s="6" t="n">
        <f aca="false">IF(COUNTIFS('Raw Data'!$C$2:$C$60,A13,'Raw Data'!$D$2:$D$60,"&lt;&gt;")=0,"N/A",_xlfn.MINIFS('Raw Data'!$D$2:$D$60,'Raw Data'!$C$2:$C$60,A13))</f>
        <v>1600000</v>
      </c>
      <c r="G13" s="6" t="n">
        <f aca="false" t="array" ref="G13:G13">IF(COUNTIFS('Raw Data'!$C$2:$C$60,A13,'Raw Data'!$D$2:$D$60,"&lt;&gt;")=0,"N/A",MEDIAN(IF('Raw Data'!$C$2:$C$60=A13,'Raw Data'!$D$2:$D$60)))</f>
        <v>1600000</v>
      </c>
      <c r="H13" s="6" t="n">
        <f aca="false">IF(COUNTIFS('Raw Data'!$C$2:$C$60,A13,'Raw Data'!$D$2:$D$60,"&lt;&gt;")=0,"N/A",_xlfn.MAXIFS('Raw Data'!$D$2:$D$60,'Raw Data'!$C$2:$C$60,A13))</f>
        <v>1600000</v>
      </c>
      <c r="I13" s="6" t="n">
        <f aca="false">IF(COUNTIFS('Raw Data'!$C$2:$C$60,A13,'Raw Data'!$E$2:$E$60,"&lt;&gt;")=0,"N/A",_xlfn.MINIFS('Raw Data'!$E$2:$E$60,'Raw Data'!$C$2:$C$60,A13))</f>
        <v>2100000</v>
      </c>
      <c r="J13" s="6" t="n">
        <f aca="false" t="array" ref="J13:J13">IF(COUNTIFS('Raw Data'!$C$2:$C$60,A13,'Raw Data'!$E$2:$E$60,"&lt;&gt;")=0,"N/A",MEDIAN(IF('Raw Data'!$C$2:$C$60=A13,'Raw Data'!$E$2:$E$60)))</f>
        <v>2100000</v>
      </c>
      <c r="K13" s="6" t="n">
        <f aca="false">IF(COUNTIFS('Raw Data'!$C$2:$C$60,A13,'Raw Data'!$E$2:$E$60,"&lt;&gt;")=0,"N/A",_xlfn.MAXIFS('Raw Data'!$E$2:$E$60,'Raw Data'!$C$2:$C$60,A13))</f>
        <v>2100000</v>
      </c>
    </row>
    <row r="14" customFormat="false" ht="15" hidden="false" customHeight="false" outlineLevel="0" collapsed="false">
      <c r="A14" s="4" t="s">
        <v>10</v>
      </c>
      <c r="B14" s="4" t="n">
        <f aca="false">COUNTIF('Raw Data'!$C$2:$C$60,A14)</f>
        <v>1</v>
      </c>
      <c r="C14" s="5" t="s">
        <v>12</v>
      </c>
      <c r="D14" s="5" t="s">
        <v>11</v>
      </c>
      <c r="E14" s="5" t="s">
        <v>13</v>
      </c>
      <c r="F14" s="6" t="n">
        <f aca="false">IF(COUNTIFS('Raw Data'!$C$2:$C$60,A14,'Raw Data'!$D$2:$D$60,"&lt;&gt;")=0,"N/A",_xlfn.MINIFS('Raw Data'!$D$2:$D$60,'Raw Data'!$C$2:$C$60,A14))</f>
        <v>4200000</v>
      </c>
      <c r="G14" s="6" t="n">
        <f aca="false" t="array" ref="G14:G14">IF(COUNTIFS('Raw Data'!$C$2:$C$60,A14,'Raw Data'!$D$2:$D$60,"&lt;&gt;")=0,"N/A",MEDIAN(IF('Raw Data'!$C$2:$C$60=A14,'Raw Data'!$D$2:$D$60)))</f>
        <v>4200000</v>
      </c>
      <c r="H14" s="6" t="n">
        <f aca="false">IF(COUNTIFS('Raw Data'!$C$2:$C$60,A14,'Raw Data'!$D$2:$D$60,"&lt;&gt;")=0,"N/A",_xlfn.MAXIFS('Raw Data'!$D$2:$D$60,'Raw Data'!$C$2:$C$60,A14))</f>
        <v>4200000</v>
      </c>
      <c r="I14" s="6" t="n">
        <f aca="false">IF(COUNTIFS('Raw Data'!$C$2:$C$60,A14,'Raw Data'!$E$2:$E$60,"&lt;&gt;")=0,"N/A",_xlfn.MINIFS('Raw Data'!$E$2:$E$60,'Raw Data'!$C$2:$C$60,A14))</f>
        <v>5400000</v>
      </c>
      <c r="J14" s="6" t="n">
        <f aca="false" t="array" ref="J14:J14">IF(COUNTIFS('Raw Data'!$C$2:$C$60,A14,'Raw Data'!$E$2:$E$60,"&lt;&gt;")=0,"N/A",MEDIAN(IF('Raw Data'!$C$2:$C$60=A14,'Raw Data'!$E$2:$E$60)))</f>
        <v>5400000</v>
      </c>
      <c r="K14" s="6" t="n">
        <f aca="false">IF(COUNTIFS('Raw Data'!$C$2:$C$60,A14,'Raw Data'!$E$2:$E$60,"&lt;&gt;")=0,"N/A",_xlfn.MAXIFS('Raw Data'!$E$2:$E$60,'Raw Data'!$C$2:$C$60,A14))</f>
        <v>5400000</v>
      </c>
    </row>
    <row r="15" customFormat="false" ht="15" hidden="false" customHeight="false" outlineLevel="0" collapsed="false">
      <c r="A15" s="4" t="s">
        <v>54</v>
      </c>
      <c r="B15" s="4" t="n">
        <f aca="false">COUNTIF('Raw Data'!$C$2:$C$60,A15)</f>
        <v>2</v>
      </c>
      <c r="C15" s="5" t="s">
        <v>56</v>
      </c>
      <c r="D15" s="5" t="s">
        <v>55</v>
      </c>
      <c r="E15" s="5" t="s">
        <v>57</v>
      </c>
      <c r="F15" s="6" t="n">
        <f aca="false">IF(COUNTIFS('Raw Data'!$C$2:$C$60,A15,'Raw Data'!$D$2:$D$60,"&lt;&gt;")=0,"N/A",_xlfn.MINIFS('Raw Data'!$D$2:$D$60,'Raw Data'!$C$2:$C$60,A15))</f>
        <v>1339464</v>
      </c>
      <c r="G15" s="6" t="n">
        <f aca="false" t="array" ref="G15:G15">IF(COUNTIFS('Raw Data'!$C$2:$C$60,A15,'Raw Data'!$D$2:$D$60,"&lt;&gt;")=0,"N/A",MEDIAN(IF('Raw Data'!$C$2:$C$60=A15,'Raw Data'!$D$2:$D$60)))</f>
        <v>1339464</v>
      </c>
      <c r="H15" s="6" t="n">
        <f aca="false">IF(COUNTIFS('Raw Data'!$C$2:$C$60,A15,'Raw Data'!$D$2:$D$60,"&lt;&gt;")=0,"N/A",_xlfn.MAXIFS('Raw Data'!$D$2:$D$60,'Raw Data'!$C$2:$C$60,A15))</f>
        <v>1339464</v>
      </c>
      <c r="I15" s="6" t="n">
        <f aca="false">IF(COUNTIFS('Raw Data'!$C$2:$C$60,A15,'Raw Data'!$E$2:$E$60,"&lt;&gt;")=0,"N/A",_xlfn.MINIFS('Raw Data'!$E$2:$E$60,'Raw Data'!$C$2:$C$60,A15))</f>
        <v>1547700</v>
      </c>
      <c r="J15" s="6" t="n">
        <f aca="false" t="array" ref="J15:J15">IF(COUNTIFS('Raw Data'!$C$2:$C$60,A15,'Raw Data'!$E$2:$E$60,"&lt;&gt;")=0,"N/A",MEDIAN(IF('Raw Data'!$C$2:$C$60=A15,'Raw Data'!$E$2:$E$60)))</f>
        <v>1547700</v>
      </c>
      <c r="K15" s="6" t="n">
        <f aca="false">IF(COUNTIFS('Raw Data'!$C$2:$C$60,A15,'Raw Data'!$E$2:$E$60,"&lt;&gt;")=0,"N/A",_xlfn.MAXIFS('Raw Data'!$E$2:$E$60,'Raw Data'!$C$2:$C$60,A15))</f>
        <v>1547700</v>
      </c>
    </row>
    <row r="16" customFormat="false" ht="23.85" hidden="false" customHeight="false" outlineLevel="0" collapsed="false">
      <c r="A16" s="4" t="s">
        <v>217</v>
      </c>
      <c r="B16" s="4" t="n">
        <f aca="false">COUNTIF('Raw Data'!$C$2:$C$60,A16)</f>
        <v>1</v>
      </c>
      <c r="C16" s="5" t="s">
        <v>12</v>
      </c>
      <c r="D16" s="5" t="s">
        <v>218</v>
      </c>
      <c r="E16" s="5" t="s">
        <v>219</v>
      </c>
      <c r="F16" s="6" t="n">
        <f aca="false">IF(COUNTIFS('Raw Data'!$C$2:$C$60,A16,'Raw Data'!$D$2:$D$60,"&lt;&gt;")=0,"N/A",_xlfn.MINIFS('Raw Data'!$D$2:$D$60,'Raw Data'!$C$2:$C$60,A16))</f>
        <v>2306191</v>
      </c>
      <c r="G16" s="6" t="n">
        <f aca="false" t="array" ref="G16:G16">IF(COUNTIFS('Raw Data'!$C$2:$C$60,A16,'Raw Data'!$D$2:$D$60,"&lt;&gt;")=0,"N/A",MEDIAN(IF('Raw Data'!$C$2:$C$60=A16,'Raw Data'!$D$2:$D$60)))</f>
        <v>2306191</v>
      </c>
      <c r="H16" s="6" t="n">
        <f aca="false">IF(COUNTIFS('Raw Data'!$C$2:$C$60,A16,'Raw Data'!$D$2:$D$60,"&lt;&gt;")=0,"N/A",_xlfn.MAXIFS('Raw Data'!$D$2:$D$60,'Raw Data'!$C$2:$C$60,A16))</f>
        <v>2306191</v>
      </c>
      <c r="I16" s="6" t="n">
        <f aca="false">IF(COUNTIFS('Raw Data'!$C$2:$C$60,A16,'Raw Data'!$E$2:$E$60,"&lt;&gt;")=0,"N/A",_xlfn.MINIFS('Raw Data'!$E$2:$E$60,'Raw Data'!$C$2:$C$60,A16))</f>
        <v>3000000</v>
      </c>
      <c r="J16" s="6" t="n">
        <f aca="false" t="array" ref="J16:J16">IF(COUNTIFS('Raw Data'!$C$2:$C$60,A16,'Raw Data'!$E$2:$E$60,"&lt;&gt;")=0,"N/A",MEDIAN(IF('Raw Data'!$C$2:$C$60=A16,'Raw Data'!$E$2:$E$60)))</f>
        <v>3000000</v>
      </c>
      <c r="K16" s="6" t="n">
        <f aca="false">IF(COUNTIFS('Raw Data'!$C$2:$C$60,A16,'Raw Data'!$E$2:$E$60,"&lt;&gt;")=0,"N/A",_xlfn.MAXIFS('Raw Data'!$E$2:$E$60,'Raw Data'!$C$2:$C$60,A16))</f>
        <v>3000000</v>
      </c>
    </row>
    <row r="17" customFormat="false" ht="15" hidden="false" customHeight="false" outlineLevel="0" collapsed="false">
      <c r="A17" s="4" t="s">
        <v>176</v>
      </c>
      <c r="B17" s="4" t="n">
        <f aca="false">COUNTIF('Raw Data'!$C$2:$C$60,A17)</f>
        <v>1</v>
      </c>
      <c r="C17" s="5" t="s">
        <v>168</v>
      </c>
      <c r="D17" s="5" t="s">
        <v>177</v>
      </c>
      <c r="E17" s="5" t="s">
        <v>178</v>
      </c>
      <c r="F17" s="6" t="n">
        <f aca="false">IF(COUNTIFS('Raw Data'!$C$2:$C$60,A17,'Raw Data'!$D$2:$D$60,"&lt;&gt;")=0,"N/A",_xlfn.MINIFS('Raw Data'!$D$2:$D$60,'Raw Data'!$C$2:$C$60,A17))</f>
        <v>1800000</v>
      </c>
      <c r="G17" s="6" t="n">
        <f aca="false" t="array" ref="G17:G17">IF(COUNTIFS('Raw Data'!$C$2:$C$60,A17,'Raw Data'!$D$2:$D$60,"&lt;&gt;")=0,"N/A",MEDIAN(IF('Raw Data'!$C$2:$C$60=A17,'Raw Data'!$D$2:$D$60)))</f>
        <v>1800000</v>
      </c>
      <c r="H17" s="6" t="n">
        <f aca="false">IF(COUNTIFS('Raw Data'!$C$2:$C$60,A17,'Raw Data'!$D$2:$D$60,"&lt;&gt;")=0,"N/A",_xlfn.MAXIFS('Raw Data'!$D$2:$D$60,'Raw Data'!$C$2:$C$60,A17))</f>
        <v>1800000</v>
      </c>
      <c r="I17" s="6" t="n">
        <f aca="false">IF(COUNTIFS('Raw Data'!$C$2:$C$60,A17,'Raw Data'!$E$2:$E$60,"&lt;&gt;")=0,"N/A",_xlfn.MINIFS('Raw Data'!$E$2:$E$60,'Raw Data'!$C$2:$C$60,A17))</f>
        <v>2733050</v>
      </c>
      <c r="J17" s="6" t="n">
        <f aca="false" t="array" ref="J17:J17">IF(COUNTIFS('Raw Data'!$C$2:$C$60,A17,'Raw Data'!$E$2:$E$60,"&lt;&gt;")=0,"N/A",MEDIAN(IF('Raw Data'!$C$2:$C$60=A17,'Raw Data'!$E$2:$E$60)))</f>
        <v>2733050</v>
      </c>
      <c r="K17" s="6" t="n">
        <f aca="false">IF(COUNTIFS('Raw Data'!$C$2:$C$60,A17,'Raw Data'!$E$2:$E$60,"&lt;&gt;")=0,"N/A",_xlfn.MAXIFS('Raw Data'!$E$2:$E$60,'Raw Data'!$C$2:$C$60,A17))</f>
        <v>2733050</v>
      </c>
    </row>
    <row r="18" customFormat="false" ht="15" hidden="false" customHeight="false" outlineLevel="0" collapsed="false">
      <c r="A18" s="4" t="s">
        <v>101</v>
      </c>
      <c r="B18" s="4" t="n">
        <f aca="false">COUNTIF('Raw Data'!$C$2:$C$60,A18)</f>
        <v>2</v>
      </c>
      <c r="C18" s="5" t="s">
        <v>26</v>
      </c>
      <c r="D18" s="5" t="s">
        <v>102</v>
      </c>
      <c r="E18" s="5" t="s">
        <v>46</v>
      </c>
      <c r="F18" s="6" t="n">
        <f aca="false">IF(COUNTIFS('Raw Data'!$C$2:$C$60,A18,'Raw Data'!$D$2:$D$60,"&lt;&gt;")=0,"N/A",_xlfn.MINIFS('Raw Data'!$D$2:$D$60,'Raw Data'!$C$2:$C$60,A18))</f>
        <v>1410528</v>
      </c>
      <c r="G18" s="6" t="n">
        <f aca="false" t="array" ref="G18:G18">IF(COUNTIFS('Raw Data'!$C$2:$C$60,A18,'Raw Data'!$D$2:$D$60,"&lt;&gt;")=0,"N/A",MEDIAN(IF('Raw Data'!$C$2:$C$60=A18,'Raw Data'!$D$2:$D$60)))</f>
        <v>1410528</v>
      </c>
      <c r="H18" s="6" t="n">
        <f aca="false">IF(COUNTIFS('Raw Data'!$C$2:$C$60,A18,'Raw Data'!$D$2:$D$60,"&lt;&gt;")=0,"N/A",_xlfn.MAXIFS('Raw Data'!$D$2:$D$60,'Raw Data'!$C$2:$C$60,A18))</f>
        <v>1410528</v>
      </c>
      <c r="I18" s="6" t="n">
        <f aca="false">IF(COUNTIFS('Raw Data'!$C$2:$C$60,A18,'Raw Data'!$E$2:$E$60,"&lt;&gt;")=0,"N/A",_xlfn.MINIFS('Raw Data'!$E$2:$E$60,'Raw Data'!$C$2:$C$60,A18))</f>
        <v>1500000</v>
      </c>
      <c r="J18" s="6" t="n">
        <f aca="false" t="array" ref="J18:J18">IF(COUNTIFS('Raw Data'!$C$2:$C$60,A18,'Raw Data'!$E$2:$E$60,"&lt;&gt;")=0,"N/A",MEDIAN(IF('Raw Data'!$C$2:$C$60=A18,'Raw Data'!$E$2:$E$60)))</f>
        <v>1500000</v>
      </c>
      <c r="K18" s="6" t="n">
        <f aca="false">IF(COUNTIFS('Raw Data'!$C$2:$C$60,A18,'Raw Data'!$E$2:$E$60,"&lt;&gt;")=0,"N/A",_xlfn.MAXIFS('Raw Data'!$E$2:$E$60,'Raw Data'!$C$2:$C$60,A18))</f>
        <v>1500000</v>
      </c>
    </row>
    <row r="19" customFormat="false" ht="15" hidden="false" customHeight="false" outlineLevel="0" collapsed="false">
      <c r="A19" s="4" t="s">
        <v>96</v>
      </c>
      <c r="B19" s="4" t="n">
        <f aca="false">COUNTIF('Raw Data'!$C$2:$C$60,A19)</f>
        <v>1</v>
      </c>
      <c r="C19" s="5" t="s">
        <v>26</v>
      </c>
      <c r="D19" s="5" t="s">
        <v>97</v>
      </c>
      <c r="E19" s="5" t="s">
        <v>98</v>
      </c>
      <c r="F19" s="6" t="n">
        <f aca="false">IF(COUNTIFS('Raw Data'!$C$2:$C$60,A19,'Raw Data'!$D$2:$D$60,"&lt;&gt;")=0,"N/A",_xlfn.MINIFS('Raw Data'!$D$2:$D$60,'Raw Data'!$C$2:$C$60,A19))</f>
        <v>1800000</v>
      </c>
      <c r="G19" s="6" t="n">
        <f aca="false" t="array" ref="G19:G19">IF(COUNTIFS('Raw Data'!$C$2:$C$60,A19,'Raw Data'!$D$2:$D$60,"&lt;&gt;")=0,"N/A",MEDIAN(IF('Raw Data'!$C$2:$C$60=A19,'Raw Data'!$D$2:$D$60)))</f>
        <v>1800000</v>
      </c>
      <c r="H19" s="6" t="n">
        <f aca="false">IF(COUNTIFS('Raw Data'!$C$2:$C$60,A19,'Raw Data'!$D$2:$D$60,"&lt;&gt;")=0,"N/A",_xlfn.MAXIFS('Raw Data'!$D$2:$D$60,'Raw Data'!$C$2:$C$60,A19))</f>
        <v>1800000</v>
      </c>
      <c r="I19" s="6" t="n">
        <f aca="false">IF(COUNTIFS('Raw Data'!$C$2:$C$60,A19,'Raw Data'!$E$2:$E$60,"&lt;&gt;")=0,"N/A",_xlfn.MINIFS('Raw Data'!$E$2:$E$60,'Raw Data'!$C$2:$C$60,A19))</f>
        <v>2678560</v>
      </c>
      <c r="J19" s="6" t="n">
        <f aca="false" t="array" ref="J19:J19">IF(COUNTIFS('Raw Data'!$C$2:$C$60,A19,'Raw Data'!$E$2:$E$60,"&lt;&gt;")=0,"N/A",MEDIAN(IF('Raw Data'!$C$2:$C$60=A19,'Raw Data'!$E$2:$E$60)))</f>
        <v>2678560</v>
      </c>
      <c r="K19" s="6" t="n">
        <f aca="false">IF(COUNTIFS('Raw Data'!$C$2:$C$60,A19,'Raw Data'!$E$2:$E$60,"&lt;&gt;")=0,"N/A",_xlfn.MAXIFS('Raw Data'!$E$2:$E$60,'Raw Data'!$C$2:$C$60,A19))</f>
        <v>2678560</v>
      </c>
    </row>
    <row r="20" customFormat="false" ht="23.85" hidden="false" customHeight="false" outlineLevel="0" collapsed="false">
      <c r="A20" s="4" t="s">
        <v>117</v>
      </c>
      <c r="B20" s="4" t="n">
        <f aca="false">COUNTIF('Raw Data'!$C$2:$C$60,A20)</f>
        <v>2</v>
      </c>
      <c r="C20" s="5" t="s">
        <v>45</v>
      </c>
      <c r="D20" s="5" t="s">
        <v>118</v>
      </c>
      <c r="E20" s="5" t="s">
        <v>119</v>
      </c>
      <c r="F20" s="6" t="n">
        <f aca="false">IF(COUNTIFS('Raw Data'!$C$2:$C$60,A20,'Raw Data'!$D$2:$D$60,"&lt;&gt;")=0,"N/A",_xlfn.MINIFS('Raw Data'!$D$2:$D$60,'Raw Data'!$C$2:$C$60,A20))</f>
        <v>1868000</v>
      </c>
      <c r="G20" s="6" t="n">
        <f aca="false" t="array" ref="G20:G20">IF(COUNTIFS('Raw Data'!$C$2:$C$60,A20,'Raw Data'!$D$2:$D$60,"&lt;&gt;")=0,"N/A",MEDIAN(IF('Raw Data'!$C$2:$C$60=A20,'Raw Data'!$D$2:$D$60)))</f>
        <v>1868000</v>
      </c>
      <c r="H20" s="6" t="n">
        <f aca="false">IF(COUNTIFS('Raw Data'!$C$2:$C$60,A20,'Raw Data'!$D$2:$D$60,"&lt;&gt;")=0,"N/A",_xlfn.MAXIFS('Raw Data'!$D$2:$D$60,'Raw Data'!$C$2:$C$60,A20))</f>
        <v>1868000</v>
      </c>
      <c r="I20" s="6" t="n">
        <f aca="false">IF(COUNTIFS('Raw Data'!$C$2:$C$60,A20,'Raw Data'!$E$2:$E$60,"&lt;&gt;")=0,"N/A",_xlfn.MINIFS('Raw Data'!$E$2:$E$60,'Raw Data'!$C$2:$C$60,A20))</f>
        <v>3513196</v>
      </c>
      <c r="J20" s="6" t="n">
        <f aca="false" t="array" ref="J20:J20">IF(COUNTIFS('Raw Data'!$C$2:$C$60,A20,'Raw Data'!$E$2:$E$60,"&lt;&gt;")=0,"N/A",MEDIAN(IF('Raw Data'!$C$2:$C$60=A20,'Raw Data'!$E$2:$E$60)))</f>
        <v>3513196</v>
      </c>
      <c r="K20" s="6" t="n">
        <f aca="false">IF(COUNTIFS('Raw Data'!$C$2:$C$60,A20,'Raw Data'!$E$2:$E$60,"&lt;&gt;")=0,"N/A",_xlfn.MAXIFS('Raw Data'!$E$2:$E$60,'Raw Data'!$C$2:$C$60,A20))</f>
        <v>3513196</v>
      </c>
    </row>
    <row r="21" customFormat="false" ht="15" hidden="false" customHeight="false" outlineLevel="0" collapsed="false">
      <c r="A21" s="4" t="s">
        <v>49</v>
      </c>
      <c r="B21" s="4" t="n">
        <f aca="false">COUNTIF('Raw Data'!$C$2:$C$60,A21)</f>
        <v>1</v>
      </c>
      <c r="C21" s="5" t="s">
        <v>12</v>
      </c>
      <c r="D21" s="5" t="s">
        <v>50</v>
      </c>
      <c r="E21" s="5" t="s">
        <v>51</v>
      </c>
      <c r="F21" s="6" t="n">
        <f aca="false">IF(COUNTIFS('Raw Data'!$C$2:$C$60,A21,'Raw Data'!$D$2:$D$60,"&lt;&gt;")=0,"N/A",_xlfn.MINIFS('Raw Data'!$D$2:$D$60,'Raw Data'!$C$2:$C$60,A21))</f>
        <v>3600000</v>
      </c>
      <c r="G21" s="6" t="n">
        <f aca="false" t="array" ref="G21:G21">IF(COUNTIFS('Raw Data'!$C$2:$C$60,A21,'Raw Data'!$D$2:$D$60,"&lt;&gt;")=0,"N/A",MEDIAN(IF('Raw Data'!$C$2:$C$60=A21,'Raw Data'!$D$2:$D$60)))</f>
        <v>3600000</v>
      </c>
      <c r="H21" s="6" t="n">
        <f aca="false">IF(COUNTIFS('Raw Data'!$C$2:$C$60,A21,'Raw Data'!$D$2:$D$60,"&lt;&gt;")=0,"N/A",_xlfn.MAXIFS('Raw Data'!$D$2:$D$60,'Raw Data'!$C$2:$C$60,A21))</f>
        <v>3600000</v>
      </c>
      <c r="I21" s="6" t="n">
        <f aca="false">IF(COUNTIFS('Raw Data'!$C$2:$C$60,A21,'Raw Data'!$E$2:$E$60,"&lt;&gt;")=0,"N/A",_xlfn.MINIFS('Raw Data'!$E$2:$E$60,'Raw Data'!$C$2:$C$60,A21))</f>
        <v>6600000</v>
      </c>
      <c r="J21" s="6" t="n">
        <f aca="false" t="array" ref="J21:J21">IF(COUNTIFS('Raw Data'!$C$2:$C$60,A21,'Raw Data'!$E$2:$E$60,"&lt;&gt;")=0,"N/A",MEDIAN(IF('Raw Data'!$C$2:$C$60=A21,'Raw Data'!$E$2:$E$60)))</f>
        <v>6600000</v>
      </c>
      <c r="K21" s="6" t="n">
        <f aca="false">IF(COUNTIFS('Raw Data'!$C$2:$C$60,A21,'Raw Data'!$E$2:$E$60,"&lt;&gt;")=0,"N/A",_xlfn.MAXIFS('Raw Data'!$E$2:$E$60,'Raw Data'!$C$2:$C$60,A21))</f>
        <v>6600000</v>
      </c>
    </row>
    <row r="22" customFormat="false" ht="23.85" hidden="false" customHeight="false" outlineLevel="0" collapsed="false">
      <c r="A22" s="4" t="s">
        <v>16</v>
      </c>
      <c r="B22" s="4" t="n">
        <f aca="false">COUNTIF('Raw Data'!$C$2:$C$60,A22)</f>
        <v>7</v>
      </c>
      <c r="C22" s="5" t="s">
        <v>18</v>
      </c>
      <c r="D22" s="5" t="s">
        <v>230</v>
      </c>
      <c r="E22" s="5" t="s">
        <v>19</v>
      </c>
      <c r="F22" s="6" t="n">
        <f aca="false">IF(COUNTIFS('Raw Data'!$C$2:$C$60,A22,'Raw Data'!$D$2:$D$60,"&lt;&gt;")=0,"N/A",_xlfn.MINIFS('Raw Data'!$D$2:$D$60,'Raw Data'!$C$2:$C$60,A22))</f>
        <v>1950000</v>
      </c>
      <c r="G22" s="6" t="n">
        <f aca="false" t="array" ref="G22:G22">IF(COUNTIFS('Raw Data'!$C$2:$C$60,A22,'Raw Data'!$D$2:$D$60,"&lt;&gt;")=0,"N/A",MEDIAN(IF('Raw Data'!$C$2:$C$60=A22,'Raw Data'!$D$2:$D$60)))</f>
        <v>1950000</v>
      </c>
      <c r="H22" s="6" t="n">
        <f aca="false">IF(COUNTIFS('Raw Data'!$C$2:$C$60,A22,'Raw Data'!$D$2:$D$60,"&lt;&gt;")=0,"N/A",_xlfn.MAXIFS('Raw Data'!$D$2:$D$60,'Raw Data'!$C$2:$C$60,A22))</f>
        <v>1950000</v>
      </c>
      <c r="I22" s="6" t="n">
        <f aca="false">IF(COUNTIFS('Raw Data'!$C$2:$C$60,A22,'Raw Data'!$E$2:$E$60,"&lt;&gt;")=0,"N/A",_xlfn.MINIFS('Raw Data'!$E$2:$E$60,'Raw Data'!$C$2:$C$60,A22))</f>
        <v>4216000</v>
      </c>
      <c r="J22" s="6" t="n">
        <f aca="false" t="array" ref="J22:J22">IF(COUNTIFS('Raw Data'!$C$2:$C$60,A22,'Raw Data'!$E$2:$E$60,"&lt;&gt;")=0,"N/A",MEDIAN(IF('Raw Data'!$C$2:$C$60=A22,'Raw Data'!$E$2:$E$60)))</f>
        <v>4216000</v>
      </c>
      <c r="K22" s="6" t="n">
        <f aca="false">IF(COUNTIFS('Raw Data'!$C$2:$C$60,A22,'Raw Data'!$E$2:$E$60,"&lt;&gt;")=0,"N/A",_xlfn.MAXIFS('Raw Data'!$E$2:$E$60,'Raw Data'!$C$2:$C$60,A22))</f>
        <v>4216000</v>
      </c>
    </row>
    <row r="23" customFormat="false" ht="15" hidden="false" customHeight="false" outlineLevel="0" collapsed="false">
      <c r="A23" s="4" t="s">
        <v>147</v>
      </c>
      <c r="B23" s="4" t="n">
        <f aca="false">COUNTIF('Raw Data'!$C$2:$C$60,A23)</f>
        <v>1</v>
      </c>
      <c r="C23" s="5" t="s">
        <v>149</v>
      </c>
      <c r="D23" s="5" t="s">
        <v>148</v>
      </c>
      <c r="E23" s="5" t="s">
        <v>57</v>
      </c>
      <c r="F23" s="6" t="n">
        <f aca="false">IF(COUNTIFS('Raw Data'!$C$2:$C$60,A23,'Raw Data'!$D$2:$D$60,"&lt;&gt;")=0,"N/A",_xlfn.MINIFS('Raw Data'!$D$2:$D$60,'Raw Data'!$C$2:$C$60,A23))</f>
        <v>800000</v>
      </c>
      <c r="G23" s="6" t="n">
        <f aca="false" t="array" ref="G23:G23">IF(COUNTIFS('Raw Data'!$C$2:$C$60,A23,'Raw Data'!$D$2:$D$60,"&lt;&gt;")=0,"N/A",MEDIAN(IF('Raw Data'!$C$2:$C$60=A23,'Raw Data'!$D$2:$D$60)))</f>
        <v>800000</v>
      </c>
      <c r="H23" s="6" t="n">
        <f aca="false">IF(COUNTIFS('Raw Data'!$C$2:$C$60,A23,'Raw Data'!$D$2:$D$60,"&lt;&gt;")=0,"N/A",_xlfn.MAXIFS('Raw Data'!$D$2:$D$60,'Raw Data'!$C$2:$C$60,A23))</f>
        <v>800000</v>
      </c>
      <c r="I23" s="6" t="n">
        <f aca="false">IF(COUNTIFS('Raw Data'!$C$2:$C$60,A23,'Raw Data'!$E$2:$E$60,"&lt;&gt;")=0,"N/A",_xlfn.MINIFS('Raw Data'!$E$2:$E$60,'Raw Data'!$C$2:$C$60,A23))</f>
        <v>1000000</v>
      </c>
      <c r="J23" s="6" t="n">
        <f aca="false" t="array" ref="J23:J23">IF(COUNTIFS('Raw Data'!$C$2:$C$60,A23,'Raw Data'!$E$2:$E$60,"&lt;&gt;")=0,"N/A",MEDIAN(IF('Raw Data'!$C$2:$C$60=A23,'Raw Data'!$E$2:$E$60)))</f>
        <v>1000000</v>
      </c>
      <c r="K23" s="6" t="n">
        <f aca="false">IF(COUNTIFS('Raw Data'!$C$2:$C$60,A23,'Raw Data'!$E$2:$E$60,"&lt;&gt;")=0,"N/A",_xlfn.MAXIFS('Raw Data'!$E$2:$E$60,'Raw Data'!$C$2:$C$60,A23))</f>
        <v>1000000</v>
      </c>
    </row>
    <row r="24" customFormat="false" ht="15" hidden="false" customHeight="false" outlineLevel="0" collapsed="false">
      <c r="A24" s="4" t="s">
        <v>158</v>
      </c>
      <c r="B24" s="4" t="n">
        <f aca="false">COUNTIF('Raw Data'!$C$2:$C$60,A24)</f>
        <v>1</v>
      </c>
      <c r="C24" s="5" t="s">
        <v>231</v>
      </c>
      <c r="D24" s="5" t="s">
        <v>231</v>
      </c>
      <c r="E24" s="5" t="s">
        <v>231</v>
      </c>
      <c r="F24" s="6" t="str">
        <f aca="false">IF(COUNTIFS('Raw Data'!$C$2:$C$60,A24,'Raw Data'!$D$2:$D$60,"&lt;&gt;")=0,"N/A",_xlfn.MINIFS('Raw Data'!$D$2:$D$60,'Raw Data'!$C$2:$C$60,A24))</f>
        <v>N/A</v>
      </c>
      <c r="G24" s="6" t="str">
        <f aca="false" t="array" ref="G24:G24">IF(COUNTIFS('Raw Data'!$C$2:$C$60,A24,'Raw Data'!$D$2:$D$60,"&lt;&gt;")=0,"N/A",MEDIAN(IF('Raw Data'!$C$2:$C$60=A24,'Raw Data'!$D$2:$D$60)))</f>
        <v>N/A</v>
      </c>
      <c r="H24" s="6" t="str">
        <f aca="false">IF(COUNTIFS('Raw Data'!$C$2:$C$60,A24,'Raw Data'!$D$2:$D$60,"&lt;&gt;")=0,"N/A",_xlfn.MAXIFS('Raw Data'!$D$2:$D$60,'Raw Data'!$C$2:$C$60,A24))</f>
        <v>N/A</v>
      </c>
      <c r="I24" s="6" t="str">
        <f aca="false">IF(COUNTIFS('Raw Data'!$C$2:$C$60,A24,'Raw Data'!$E$2:$E$60,"&lt;&gt;")=0,"N/A",_xlfn.MINIFS('Raw Data'!$E$2:$E$60,'Raw Data'!$C$2:$C$60,A24))</f>
        <v>N/A</v>
      </c>
      <c r="J24" s="6" t="str">
        <f aca="false" t="array" ref="J24:J24">IF(COUNTIFS('Raw Data'!$C$2:$C$60,A24,'Raw Data'!$E$2:$E$60,"&lt;&gt;")=0,"N/A",MEDIAN(IF('Raw Data'!$C$2:$C$60=A24,'Raw Data'!$E$2:$E$60)))</f>
        <v>N/A</v>
      </c>
      <c r="K24" s="6" t="str">
        <f aca="false">IF(COUNTIFS('Raw Data'!$C$2:$C$60,A24,'Raw Data'!$E$2:$E$60,"&lt;&gt;")=0,"N/A",_xlfn.MAXIFS('Raw Data'!$E$2:$E$60,'Raw Data'!$C$2:$C$60,A24))</f>
        <v>N/A</v>
      </c>
    </row>
    <row r="25" customFormat="false" ht="15" hidden="false" customHeight="false" outlineLevel="0" collapsed="false">
      <c r="A25" s="4" t="s">
        <v>201</v>
      </c>
      <c r="B25" s="4" t="n">
        <f aca="false">COUNTIF('Raw Data'!$C$2:$C$60,A25)</f>
        <v>2</v>
      </c>
      <c r="C25" s="5" t="s">
        <v>232</v>
      </c>
      <c r="D25" s="5" t="s">
        <v>202</v>
      </c>
      <c r="E25" s="5" t="s">
        <v>203</v>
      </c>
      <c r="F25" s="6" t="n">
        <f aca="false">IF(COUNTIFS('Raw Data'!$C$2:$C$60,A25,'Raw Data'!$D$2:$D$60,"&lt;&gt;")=0,"N/A",_xlfn.MINIFS('Raw Data'!$D$2:$D$60,'Raw Data'!$C$2:$C$60,A25))</f>
        <v>1225168</v>
      </c>
      <c r="G25" s="6" t="n">
        <f aca="false" t="array" ref="G25:G25">IF(COUNTIFS('Raw Data'!$C$2:$C$60,A25,'Raw Data'!$D$2:$D$60,"&lt;&gt;")=0,"N/A",MEDIAN(IF('Raw Data'!$C$2:$C$60=A25,'Raw Data'!$D$2:$D$60)))</f>
        <v>1225168</v>
      </c>
      <c r="H25" s="6" t="n">
        <f aca="false">IF(COUNTIFS('Raw Data'!$C$2:$C$60,A25,'Raw Data'!$D$2:$D$60,"&lt;&gt;")=0,"N/A",_xlfn.MAXIFS('Raw Data'!$D$2:$D$60,'Raw Data'!$C$2:$C$60,A25))</f>
        <v>1225168</v>
      </c>
      <c r="I25" s="6" t="n">
        <f aca="false">IF(COUNTIFS('Raw Data'!$C$2:$C$60,A25,'Raw Data'!$E$2:$E$60,"&lt;&gt;")=0,"N/A",_xlfn.MINIFS('Raw Data'!$E$2:$E$60,'Raw Data'!$C$2:$C$60,A25))</f>
        <v>1500000</v>
      </c>
      <c r="J25" s="6" t="n">
        <f aca="false" t="array" ref="J25:J25">IF(COUNTIFS('Raw Data'!$C$2:$C$60,A25,'Raw Data'!$E$2:$E$60,"&lt;&gt;")=0,"N/A",MEDIAN(IF('Raw Data'!$C$2:$C$60=A25,'Raw Data'!$E$2:$E$60)))</f>
        <v>1500000</v>
      </c>
      <c r="K25" s="6" t="n">
        <f aca="false">IF(COUNTIFS('Raw Data'!$C$2:$C$60,A25,'Raw Data'!$E$2:$E$60,"&lt;&gt;")=0,"N/A",_xlfn.MAXIFS('Raw Data'!$E$2:$E$60,'Raw Data'!$C$2:$C$60,A25))</f>
        <v>1500000</v>
      </c>
    </row>
    <row r="26" customFormat="false" ht="15" hidden="false" customHeight="false" outlineLevel="0" collapsed="false">
      <c r="A26" s="4" t="s">
        <v>82</v>
      </c>
      <c r="B26" s="4" t="n">
        <f aca="false">COUNTIF('Raw Data'!$C$2:$C$60,A26)</f>
        <v>5</v>
      </c>
      <c r="C26" s="5" t="s">
        <v>12</v>
      </c>
      <c r="D26" s="5" t="s">
        <v>233</v>
      </c>
      <c r="E26" s="5" t="s">
        <v>234</v>
      </c>
      <c r="F26" s="6" t="n">
        <f aca="false">IF(COUNTIFS('Raw Data'!$C$2:$C$60,A26,'Raw Data'!$D$2:$D$60,"&lt;&gt;")=0,"N/A",_xlfn.MINIFS('Raw Data'!$D$2:$D$60,'Raw Data'!$C$2:$C$60,A26))</f>
        <v>1850000</v>
      </c>
      <c r="G26" s="6" t="n">
        <f aca="false" t="array" ref="G26:G26">IF(COUNTIFS('Raw Data'!$C$2:$C$60,A26,'Raw Data'!$D$2:$D$60,"&lt;&gt;")=0,"N/A",MEDIAN(IF('Raw Data'!$C$2:$C$60=A26,'Raw Data'!$D$2:$D$60)))</f>
        <v>1850000</v>
      </c>
      <c r="H26" s="6" t="n">
        <f aca="false">IF(COUNTIFS('Raw Data'!$C$2:$C$60,A26,'Raw Data'!$D$2:$D$60,"&lt;&gt;")=0,"N/A",_xlfn.MAXIFS('Raw Data'!$D$2:$D$60,'Raw Data'!$C$2:$C$60,A26))</f>
        <v>1850000</v>
      </c>
      <c r="I26" s="6" t="n">
        <f aca="false">IF(COUNTIFS('Raw Data'!$C$2:$C$60,A26,'Raw Data'!$E$2:$E$60,"&lt;&gt;")=0,"N/A",_xlfn.MINIFS('Raw Data'!$E$2:$E$60,'Raw Data'!$C$2:$C$60,A26))</f>
        <v>3250000</v>
      </c>
      <c r="J26" s="6" t="n">
        <f aca="false" t="array" ref="J26:J26">IF(COUNTIFS('Raw Data'!$C$2:$C$60,A26,'Raw Data'!$E$2:$E$60,"&lt;&gt;")=0,"N/A",MEDIAN(IF('Raw Data'!$C$2:$C$60=A26,'Raw Data'!$E$2:$E$60)))</f>
        <v>3250000</v>
      </c>
      <c r="K26" s="6" t="n">
        <f aca="false">IF(COUNTIFS('Raw Data'!$C$2:$C$60,A26,'Raw Data'!$E$2:$E$60,"&lt;&gt;")=0,"N/A",_xlfn.MAXIFS('Raw Data'!$E$2:$E$60,'Raw Data'!$C$2:$C$60,A26))</f>
        <v>3250000</v>
      </c>
    </row>
    <row r="27" customFormat="false" ht="15" hidden="false" customHeight="false" outlineLevel="0" collapsed="false">
      <c r="A27" s="4" t="s">
        <v>78</v>
      </c>
      <c r="B27" s="4" t="n">
        <f aca="false">COUNTIF('Raw Data'!$C$2:$C$60,A27)</f>
        <v>1</v>
      </c>
      <c r="C27" s="5" t="s">
        <v>26</v>
      </c>
      <c r="D27" s="5" t="s">
        <v>79</v>
      </c>
      <c r="E27" s="5" t="s">
        <v>72</v>
      </c>
      <c r="F27" s="6" t="n">
        <f aca="false">IF(COUNTIFS('Raw Data'!$C$2:$C$60,A27,'Raw Data'!$D$2:$D$60,"&lt;&gt;")=0,"N/A",_xlfn.MINIFS('Raw Data'!$D$2:$D$60,'Raw Data'!$C$2:$C$60,A27))</f>
        <v>1649136</v>
      </c>
      <c r="G27" s="6" t="n">
        <f aca="false" t="array" ref="G27:G27">IF(COUNTIFS('Raw Data'!$C$2:$C$60,A27,'Raw Data'!$D$2:$D$60,"&lt;&gt;")=0,"N/A",MEDIAN(IF('Raw Data'!$C$2:$C$60=A27,'Raw Data'!$D$2:$D$60)))</f>
        <v>1649136</v>
      </c>
      <c r="H27" s="6" t="n">
        <f aca="false">IF(COUNTIFS('Raw Data'!$C$2:$C$60,A27,'Raw Data'!$D$2:$D$60,"&lt;&gt;")=0,"N/A",_xlfn.MAXIFS('Raw Data'!$D$2:$D$60,'Raw Data'!$C$2:$C$60,A27))</f>
        <v>1649136</v>
      </c>
      <c r="I27" s="6" t="n">
        <f aca="false">IF(COUNTIFS('Raw Data'!$C$2:$C$60,A27,'Raw Data'!$E$2:$E$60,"&lt;&gt;")=0,"N/A",_xlfn.MINIFS('Raw Data'!$E$2:$E$60,'Raw Data'!$C$2:$C$60,A27))</f>
        <v>2149996</v>
      </c>
      <c r="J27" s="6" t="n">
        <f aca="false" t="array" ref="J27:J27">IF(COUNTIFS('Raw Data'!$C$2:$C$60,A27,'Raw Data'!$E$2:$E$60,"&lt;&gt;")=0,"N/A",MEDIAN(IF('Raw Data'!$C$2:$C$60=A27,'Raw Data'!$E$2:$E$60)))</f>
        <v>2149996</v>
      </c>
      <c r="K27" s="6" t="n">
        <f aca="false">IF(COUNTIFS('Raw Data'!$C$2:$C$60,A27,'Raw Data'!$E$2:$E$60,"&lt;&gt;")=0,"N/A",_xlfn.MAXIFS('Raw Data'!$E$2:$E$60,'Raw Data'!$C$2:$C$60,A27))</f>
        <v>2149996</v>
      </c>
    </row>
    <row r="28" customFormat="false" ht="15" hidden="false" customHeight="false" outlineLevel="0" collapsed="false">
      <c r="A28" s="4" t="s">
        <v>70</v>
      </c>
      <c r="B28" s="4" t="n">
        <f aca="false">COUNTIF('Raw Data'!$C$2:$C$60,A28)</f>
        <v>4</v>
      </c>
      <c r="C28" s="5" t="s">
        <v>26</v>
      </c>
      <c r="D28" s="5" t="s">
        <v>71</v>
      </c>
      <c r="E28" s="5" t="s">
        <v>72</v>
      </c>
      <c r="F28" s="6" t="n">
        <f aca="false">IF(COUNTIFS('Raw Data'!$C$2:$C$60,A28,'Raw Data'!$D$2:$D$60,"&lt;&gt;")=0,"N/A",_xlfn.MINIFS('Raw Data'!$D$2:$D$60,'Raw Data'!$C$2:$C$60,A28))</f>
        <v>1750000</v>
      </c>
      <c r="G28" s="6" t="n">
        <f aca="false" t="array" ref="G28:G28">IF(COUNTIFS('Raw Data'!$C$2:$C$60,A28,'Raw Data'!$D$2:$D$60,"&lt;&gt;")=0,"N/A",MEDIAN(IF('Raw Data'!$C$2:$C$60=A28,'Raw Data'!$D$2:$D$60)))</f>
        <v>1750000</v>
      </c>
      <c r="H28" s="6" t="n">
        <f aca="false">IF(COUNTIFS('Raw Data'!$C$2:$C$60,A28,'Raw Data'!$D$2:$D$60,"&lt;&gt;")=0,"N/A",_xlfn.MAXIFS('Raw Data'!$D$2:$D$60,'Raw Data'!$C$2:$C$60,A28))</f>
        <v>1750000</v>
      </c>
      <c r="I28" s="6" t="n">
        <f aca="false">IF(COUNTIFS('Raw Data'!$C$2:$C$60,A28,'Raw Data'!$E$2:$E$60,"&lt;&gt;")=0,"N/A",_xlfn.MINIFS('Raw Data'!$E$2:$E$60,'Raw Data'!$C$2:$C$60,A28))</f>
        <v>3150000</v>
      </c>
      <c r="J28" s="6" t="n">
        <f aca="false" t="array" ref="J28:J28">IF(COUNTIFS('Raw Data'!$C$2:$C$60,A28,'Raw Data'!$E$2:$E$60,"&lt;&gt;")=0,"N/A",MEDIAN(IF('Raw Data'!$C$2:$C$60=A28,'Raw Data'!$E$2:$E$60)))</f>
        <v>3150000</v>
      </c>
      <c r="K28" s="6" t="n">
        <f aca="false">IF(COUNTIFS('Raw Data'!$C$2:$C$60,A28,'Raw Data'!$E$2:$E$60,"&lt;&gt;")=0,"N/A",_xlfn.MAXIFS('Raw Data'!$E$2:$E$60,'Raw Data'!$C$2:$C$60,A28))</f>
        <v>3150000</v>
      </c>
    </row>
    <row r="29" customFormat="false" ht="15" hidden="false" customHeight="false" outlineLevel="0" collapsed="false">
      <c r="A29" s="4" t="s">
        <v>43</v>
      </c>
      <c r="B29" s="4" t="n">
        <f aca="false">COUNTIF('Raw Data'!$C$2:$C$60,A29)</f>
        <v>1</v>
      </c>
      <c r="C29" s="5" t="s">
        <v>45</v>
      </c>
      <c r="D29" s="5" t="s">
        <v>44</v>
      </c>
      <c r="E29" s="5" t="s">
        <v>46</v>
      </c>
      <c r="F29" s="6" t="n">
        <f aca="false">IF(COUNTIFS('Raw Data'!$C$2:$C$60,A29,'Raw Data'!$D$2:$D$60,"&lt;&gt;")=0,"N/A",_xlfn.MINIFS('Raw Data'!$D$2:$D$60,'Raw Data'!$C$2:$C$60,A29))</f>
        <v>2806000</v>
      </c>
      <c r="G29" s="6" t="n">
        <f aca="false" t="array" ref="G29:G29">IF(COUNTIFS('Raw Data'!$C$2:$C$60,A29,'Raw Data'!$D$2:$D$60,"&lt;&gt;")=0,"N/A",MEDIAN(IF('Raw Data'!$C$2:$C$60=A29,'Raw Data'!$D$2:$D$60)))</f>
        <v>2806000</v>
      </c>
      <c r="H29" s="6" t="n">
        <f aca="false">IF(COUNTIFS('Raw Data'!$C$2:$C$60,A29,'Raw Data'!$D$2:$D$60,"&lt;&gt;")=0,"N/A",_xlfn.MAXIFS('Raw Data'!$D$2:$D$60,'Raw Data'!$C$2:$C$60,A29))</f>
        <v>2806000</v>
      </c>
      <c r="I29" s="6" t="n">
        <f aca="false">IF(COUNTIFS('Raw Data'!$C$2:$C$60,A29,'Raw Data'!$E$2:$E$60,"&lt;&gt;")=0,"N/A",_xlfn.MINIFS('Raw Data'!$E$2:$E$60,'Raw Data'!$C$2:$C$60,A29))</f>
        <v>6706584</v>
      </c>
      <c r="J29" s="6" t="n">
        <f aca="false" t="array" ref="J29:J29">IF(COUNTIFS('Raw Data'!$C$2:$C$60,A29,'Raw Data'!$E$2:$E$60,"&lt;&gt;")=0,"N/A",MEDIAN(IF('Raw Data'!$C$2:$C$60=A29,'Raw Data'!$E$2:$E$60)))</f>
        <v>6706584</v>
      </c>
      <c r="K29" s="6" t="n">
        <f aca="false">IF(COUNTIFS('Raw Data'!$C$2:$C$60,A29,'Raw Data'!$E$2:$E$60,"&lt;&gt;")=0,"N/A",_xlfn.MAXIFS('Raw Data'!$E$2:$E$60,'Raw Data'!$C$2:$C$60,A29))</f>
        <v>6706584</v>
      </c>
    </row>
    <row r="30" customFormat="false" ht="23.85" hidden="false" customHeight="false" outlineLevel="0" collapsed="false">
      <c r="A30" s="4" t="s">
        <v>134</v>
      </c>
      <c r="B30" s="4" t="n">
        <f aca="false">COUNTIF('Raw Data'!$C$2:$C$60,A30)</f>
        <v>3</v>
      </c>
      <c r="C30" s="5" t="s">
        <v>136</v>
      </c>
      <c r="D30" s="5" t="s">
        <v>235</v>
      </c>
      <c r="E30" s="5" t="s">
        <v>236</v>
      </c>
      <c r="F30" s="6" t="n">
        <f aca="false">IF(COUNTIFS('Raw Data'!$C$2:$C$60,A30,'Raw Data'!$D$2:$D$60,"&lt;&gt;")=0,"N/A",_xlfn.MINIFS('Raw Data'!$D$2:$D$60,'Raw Data'!$C$2:$C$60,A30))</f>
        <v>1800000</v>
      </c>
      <c r="G30" s="6" t="n">
        <f aca="false" t="array" ref="G30:G30">IF(COUNTIFS('Raw Data'!$C$2:$C$60,A30,'Raw Data'!$D$2:$D$60,"&lt;&gt;")=0,"N/A",MEDIAN(IF('Raw Data'!$C$2:$C$60=A30,'Raw Data'!$D$2:$D$60)))</f>
        <v>1800000</v>
      </c>
      <c r="H30" s="6" t="n">
        <f aca="false">IF(COUNTIFS('Raw Data'!$C$2:$C$60,A30,'Raw Data'!$D$2:$D$60,"&lt;&gt;")=0,"N/A",_xlfn.MAXIFS('Raw Data'!$D$2:$D$60,'Raw Data'!$C$2:$C$60,A30))</f>
        <v>1800000</v>
      </c>
      <c r="I30" s="6" t="n">
        <f aca="false">IF(COUNTIFS('Raw Data'!$C$2:$C$60,A30,'Raw Data'!$E$2:$E$60,"&lt;&gt;")=0,"N/A",_xlfn.MINIFS('Raw Data'!$E$2:$E$60,'Raw Data'!$C$2:$C$60,A30))</f>
        <v>1886400</v>
      </c>
      <c r="J30" s="6" t="n">
        <f aca="false" t="array" ref="J30:J30">IF(COUNTIFS('Raw Data'!$C$2:$C$60,A30,'Raw Data'!$E$2:$E$60,"&lt;&gt;")=0,"N/A",MEDIAN(IF('Raw Data'!$C$2:$C$60=A30,'Raw Data'!$E$2:$E$60)))</f>
        <v>1886400</v>
      </c>
      <c r="K30" s="6" t="n">
        <f aca="false">IF(COUNTIFS('Raw Data'!$C$2:$C$60,A30,'Raw Data'!$E$2:$E$60,"&lt;&gt;")=0,"N/A",_xlfn.MAXIFS('Raw Data'!$E$2:$E$60,'Raw Data'!$C$2:$C$60,A30))</f>
        <v>1886400</v>
      </c>
    </row>
    <row r="31" customFormat="false" ht="15" hidden="false" customHeight="false" outlineLevel="0" collapsed="false">
      <c r="A31" s="4" t="s">
        <v>24</v>
      </c>
      <c r="B31" s="4" t="n">
        <f aca="false">COUNTIF('Raw Data'!$C$2:$C$60,A31)</f>
        <v>1</v>
      </c>
      <c r="C31" s="5" t="s">
        <v>26</v>
      </c>
      <c r="D31" s="5" t="s">
        <v>25</v>
      </c>
      <c r="E31" s="5" t="s">
        <v>27</v>
      </c>
      <c r="F31" s="6" t="n">
        <f aca="false">IF(COUNTIFS('Raw Data'!$C$2:$C$60,A31,'Raw Data'!$D$2:$D$60,"&lt;&gt;")=0,"N/A",_xlfn.MINIFS('Raw Data'!$D$2:$D$60,'Raw Data'!$C$2:$C$60,A31))</f>
        <v>1500000</v>
      </c>
      <c r="G31" s="6" t="n">
        <f aca="false" t="array" ref="G31:G31">IF(COUNTIFS('Raw Data'!$C$2:$C$60,A31,'Raw Data'!$D$2:$D$60,"&lt;&gt;")=0,"N/A",MEDIAN(IF('Raw Data'!$C$2:$C$60=A31,'Raw Data'!$D$2:$D$60)))</f>
        <v>1500000</v>
      </c>
      <c r="H31" s="6" t="n">
        <f aca="false">IF(COUNTIFS('Raw Data'!$C$2:$C$60,A31,'Raw Data'!$D$2:$D$60,"&lt;&gt;")=0,"N/A",_xlfn.MAXIFS('Raw Data'!$D$2:$D$60,'Raw Data'!$C$2:$C$60,A31))</f>
        <v>1500000</v>
      </c>
      <c r="I31" s="6" t="n">
        <f aca="false">IF(COUNTIFS('Raw Data'!$C$2:$C$60,A31,'Raw Data'!$E$2:$E$60,"&lt;&gt;")=0,"N/A",_xlfn.MINIFS('Raw Data'!$E$2:$E$60,'Raw Data'!$C$2:$C$60,A31))</f>
        <v>3043080</v>
      </c>
      <c r="J31" s="6" t="n">
        <f aca="false" t="array" ref="J31:J31">IF(COUNTIFS('Raw Data'!$C$2:$C$60,A31,'Raw Data'!$E$2:$E$60,"&lt;&gt;")=0,"N/A",MEDIAN(IF('Raw Data'!$C$2:$C$60=A31,'Raw Data'!$E$2:$E$60)))</f>
        <v>3043080</v>
      </c>
      <c r="K31" s="6" t="n">
        <f aca="false">IF(COUNTIFS('Raw Data'!$C$2:$C$60,A31,'Raw Data'!$E$2:$E$60,"&lt;&gt;")=0,"N/A",_xlfn.MAXIFS('Raw Data'!$E$2:$E$60,'Raw Data'!$C$2:$C$60,A31))</f>
        <v>3043080</v>
      </c>
    </row>
    <row r="32" customFormat="false" ht="15" hidden="false" customHeight="false" outlineLevel="0" collapsed="false">
      <c r="A32" s="4" t="s">
        <v>140</v>
      </c>
      <c r="B32" s="4" t="n">
        <f aca="false">COUNTIF('Raw Data'!$C$2:$C$60,A32)</f>
        <v>1</v>
      </c>
      <c r="C32" s="5" t="s">
        <v>142</v>
      </c>
      <c r="D32" s="5" t="s">
        <v>141</v>
      </c>
      <c r="E32" s="5" t="s">
        <v>27</v>
      </c>
      <c r="F32" s="6" t="n">
        <f aca="false">IF(COUNTIFS('Raw Data'!$C$2:$C$60,A32,'Raw Data'!$D$2:$D$60,"&lt;&gt;")=0,"N/A",_xlfn.MINIFS('Raw Data'!$D$2:$D$60,'Raw Data'!$C$2:$C$60,A32))</f>
        <v>1711520</v>
      </c>
      <c r="G32" s="6" t="n">
        <f aca="false" t="array" ref="G32:G32">IF(COUNTIFS('Raw Data'!$C$2:$C$60,A32,'Raw Data'!$D$2:$D$60,"&lt;&gt;")=0,"N/A",MEDIAN(IF('Raw Data'!$C$2:$C$60=A32,'Raw Data'!$D$2:$D$60)))</f>
        <v>1711520</v>
      </c>
      <c r="H32" s="6" t="n">
        <f aca="false">IF(COUNTIFS('Raw Data'!$C$2:$C$60,A32,'Raw Data'!$D$2:$D$60,"&lt;&gt;")=0,"N/A",_xlfn.MAXIFS('Raw Data'!$D$2:$D$60,'Raw Data'!$C$2:$C$60,A32))</f>
        <v>1711520</v>
      </c>
      <c r="I32" s="6" t="n">
        <f aca="false">IF(COUNTIFS('Raw Data'!$C$2:$C$60,A32,'Raw Data'!$E$2:$E$60,"&lt;&gt;")=0,"N/A",_xlfn.MINIFS('Raw Data'!$E$2:$E$60,'Raw Data'!$C$2:$C$60,A32))</f>
        <v>2000000</v>
      </c>
      <c r="J32" s="6" t="n">
        <f aca="false" t="array" ref="J32:J32">IF(COUNTIFS('Raw Data'!$C$2:$C$60,A32,'Raw Data'!$E$2:$E$60,"&lt;&gt;")=0,"N/A",MEDIAN(IF('Raw Data'!$C$2:$C$60=A32,'Raw Data'!$E$2:$E$60)))</f>
        <v>2000000</v>
      </c>
      <c r="K32" s="6" t="n">
        <f aca="false">IF(COUNTIFS('Raw Data'!$C$2:$C$60,A32,'Raw Data'!$E$2:$E$60,"&lt;&gt;")=0,"N/A",_xlfn.MAXIFS('Raw Data'!$E$2:$E$60,'Raw Data'!$C$2:$C$60,A32))</f>
        <v>2000000</v>
      </c>
    </row>
    <row r="34" customFormat="false" ht="15" hidden="false" customHeight="false" outlineLevel="0" collapsed="false">
      <c r="A34" s="7" t="s">
        <v>237</v>
      </c>
      <c r="B34" s="7" t="n">
        <f aca="false">SUM(B2:B32)</f>
        <v>59</v>
      </c>
    </row>
    <row r="36" customFormat="false" ht="15" hidden="false" customHeight="false" outlineLevel="0" collapsed="false">
      <c r="A36" s="8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2026-08-15T12:59:41Z</dcterms:created>
  <dc:creator>openpyxl</dc:creator>
  <dc:description/>
  <dc:language>en-US</dc:language>
  <cp:lastModifiedBy/>
  <dcterms:modified xsi:type="dcterms:W3CDTF">2026-08-15T12:59:41Z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